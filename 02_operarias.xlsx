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1ff4fcb5f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faa035933c047d7"/>
    <x:sheet xmlns:r="http://schemas.openxmlformats.org/officeDocument/2006/relationships" name="Operarias" sheetId="2" r:id="Recb76d78f0484026"/>
    <x:sheet xmlns:r="http://schemas.openxmlformats.org/officeDocument/2006/relationships" name="Habilidades" sheetId="3" r:id="R777b18755db54b62"/>
    <x:sheet xmlns:r="http://schemas.openxmlformats.org/officeDocument/2006/relationships" name="Calendario" sheetId="4" r:id="Re2f72dcb8fac4e86"/>
    <x:sheet xmlns:r="http://schemas.openxmlformats.org/officeDocument/2006/relationships" name="Recursos_por_validar" sheetId="5" r:id="R50a86e722883413c"/>
    <x:sheet xmlns:r="http://schemas.openxmlformats.org/officeDocument/2006/relationships" name="Diccionario" sheetId="6" r:id="Ra22ac51225ca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7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75A"/>
      </x:patternFill>
    </x:fill>
    <x:fill>
      <x:patternFill patternType="solid">
        <x:fgColor rgb="FF087F8C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55ae25e114dca" /><Relationship Type="http://schemas.openxmlformats.org/officeDocument/2006/relationships/theme" Target="/xl/theme/theme1.xml" Id="R7f64a0b7353e493e" /><Relationship Type="http://schemas.openxmlformats.org/officeDocument/2006/relationships/sharedStrings" Target="/xl/sharedStrings.xml" Id="Rc9970979b45d40b2" /><Relationship Type="http://schemas.openxmlformats.org/officeDocument/2006/relationships/worksheet" Target="/xl/worksheets/sheet1.xml" Id="R5faa035933c047d7" /><Relationship Type="http://schemas.openxmlformats.org/officeDocument/2006/relationships/worksheet" Target="/xl/worksheets/sheet2.xml" Id="Recb76d78f0484026" /><Relationship Type="http://schemas.openxmlformats.org/officeDocument/2006/relationships/worksheet" Target="/xl/worksheets/sheet3.xml" Id="R777b18755db54b62" /><Relationship Type="http://schemas.openxmlformats.org/officeDocument/2006/relationships/worksheet" Target="/xl/worksheets/sheet4.xml" Id="Re2f72dcb8fac4e86" /><Relationship Type="http://schemas.openxmlformats.org/officeDocument/2006/relationships/worksheet" Target="/xl/worksheets/sheet5.xml" Id="R50a86e722883413c" /><Relationship Type="http://schemas.openxmlformats.org/officeDocument/2006/relationships/worksheet" Target="/xl/worksheets/sheet6.xml" Id="Ra22ac51225ca4cd5" /></Relationships>
</file>

<file path=xl/tables/table1.xml><?xml version="1.0" encoding="utf-8"?>
<x:table xmlns:x="http://schemas.openxmlformats.org/spreadsheetml/2006/main" id="1" name="TablaOperarias" displayName="TablaOperarias" ref="A1:K6" headerRowCount="1" totalsRowCount="0" totalsRowShown="0">
  <x:tableColumns count="11">
    <x:tableColumn id="1" name="ID_Operaria"/>
    <x:tableColumn id="2" name="Alias_Anonimo"/>
    <x:tableColumn id="3" name="Disponible_Corte"/>
    <x:tableColumn id="4" name="Turno_Inicio"/>
    <x:tableColumn id="5" name="Turno_Fin"/>
    <x:tableColumn id="6" name="Jornada_Bruta_Min"/>
    <x:tableColumn id="7" name="Descanso_Min"/>
    <x:tableColumn id="8" name="Indirectos_Min"/>
    <x:tableColumn id="9" name="Capacidad_Neta_Min"/>
    <x:tableColumn id="10" name="Especialidad_Referencia"/>
    <x:tableColumn id="11" name="Origen_D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Habilidades" displayName="TablaHabilidades" ref="A1:E21" headerRowCount="1" totalsRowCount="0" totalsRowShown="0">
  <x:tableColumns count="5">
    <x:tableColumn id="1" name="ID_Operaria"/>
    <x:tableColumn id="2" name="Operacion"/>
    <x:tableColumn id="3" name="Nivel"/>
    <x:tableColumn id="4" name="Habilitada_Alta"/>
    <x:tableColumn id="5" name="Origen_Da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alendario" displayName="TablaCalendario" ref="A1:H101" headerRowCount="1" totalsRowCount="0" totalsRowShown="0">
  <x:tableColumns count="8">
    <x:tableColumn id="1" name="Fecha"/>
    <x:tableColumn id="2" name="ID_Operaria"/>
    <x:tableColumn id="3" name="Disponible"/>
    <x:tableColumn id="4" name="Capacidad_Base_Min"/>
    <x:tableColumn id="5" name="Compromisos_Externos_Min"/>
    <x:tableColumn id="6" name="Capacidad_Programable_Min"/>
    <x:tableColumn id="7" name="Observacion"/>
    <x:tableColumn id="8" name="Origen_Da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Recursos" displayName="TablaRecursos" ref="A1:D5" headerRowCount="1" totalsRowCount="0" totalsRowShown="0">
  <x:tableColumns count="4">
    <x:tableColumn id="1" name="Operacion"/>
    <x:tableColumn id="2" name="Capacidad_Maquina"/>
    <x:tableColumn id="3" name="Estado"/>
    <x:tableColumn id="4" name="No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Diccionario" displayName="TablaDiccionario" ref="A1:D11" headerRowCount="1" totalsRowCount="0" totalsRowShown="0">
  <x:tableColumns count="4">
    <x:tableColumn id="1" name="HOJA"/>
    <x:tableColumn id="2" name="CAMPO / REGLA"/>
    <x:tableColumn id="3" name="SIGNIFICADO / USO"/>
    <x:tableColumn id="4" name="UNIDAD /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4a9a4bda29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35817788664b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c5bd998bc14d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8021bbbeb4e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ef41160bea431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DATOS SINTÉTICOS · NO SON REGISTROS OFICIALES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4" ht="27" customHeight="1">
      <x:c r="A4" s="7" t="str">
        <x:v>02 · OPERARIAS, HABILIDADES Y CALENDARIO</x:v>
      </x:c>
      <x:c r="B4" s="7"/>
      <x:c r="C4" s="7"/>
      <x:c r="D4" s="7"/>
      <x:c r="E4" s="7"/>
      <x:c r="F4" s="7"/>
      <x:c r="G4" s="7"/>
      <x:c r="H4" s="7"/>
    </x:row>
    <x:row r="6" ht="23" customHeight="1">
      <x:c r="A6" s="12" t="str">
        <x:v>Cinco operarias anónimas; capacidad por día y competencia por operación.</x:v>
      </x:c>
      <x:c r="B6" s="12"/>
      <x:c r="C6" s="12"/>
      <x:c r="D6" s="12"/>
      <x:c r="E6" s="12"/>
      <x:c r="F6" s="12"/>
      <x:c r="G6" s="12"/>
      <x:c r="H6" s="12"/>
    </x:row>
    <x:row r="7" ht="23" customHeight="1">
      <x:c r="A7" s="12"/>
      <x:c r="B7" s="12"/>
      <x:c r="C7" s="12"/>
      <x:c r="D7" s="12"/>
      <x:c r="E7" s="12"/>
      <x:c r="F7" s="12"/>
      <x:c r="G7" s="12"/>
      <x:c r="H7" s="12"/>
    </x:row>
    <x:row r="9" ht="22" customHeight="1">
      <x:c r="A9" s="16" t="str">
        <x:v>Perfiles simulados de capacitación, turnos y disponibilidad futura. La jornada va de 08:00 a 17:00 con 60 minutos de descanso: son 480 minutos de trabajo; se reservan 30 minutos para tareas indirectas, dejando 450 programables.</x:v>
      </x:c>
      <x:c r="B9" s="16"/>
      <x:c r="C9" s="16"/>
      <x:c r="D9" s="16"/>
      <x:c r="E9" s="16"/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3">
      <x:c r="A13" s="3" t="str">
        <x:v>PARÁMETRO</x:v>
      </x:c>
      <x:c r="B13" s="3" t="str">
        <x:v>VALOR / INSTRUCCIÓN</x:v>
      </x:c>
    </x:row>
    <x:row r="14">
      <x:c r="A14" s="12" t="str">
        <x:v>Fecha de corte simulada</x:v>
      </x:c>
      <x:c r="B14" s="20" t="n">
        <x:v>46281</x:v>
      </x:c>
    </x:row>
    <x:row r="15">
      <x:c r="A15" s="12" t="str">
        <x:v>Contexto</x:v>
      </x:c>
      <x:c r="B15" s="16" t="str">
        <x:v>Confección personalizada de vestidos; caso académico inspirado en una MYPE</x:v>
      </x:c>
    </x:row>
    <x:row r="16">
      <x:c r="A16" s="12" t="str">
        <x:v>Operarias</x:v>
      </x:c>
      <x:c r="B16" s="16" t="str">
        <x:v>5 códigos ficticios; sin nombres ni información identificable</x:v>
      </x:c>
    </x:row>
    <x:row r="17">
      <x:c r="A17" s="12" t="str">
        <x:v>Etapas</x:v>
      </x:c>
      <x:c r="B17" s="16" t="str">
        <x:v>Corte → Ensamblaje → Acabados y detalles → Planchado</x:v>
      </x:c>
    </x:row>
    <x:row r="18">
      <x:c r="A18" s="12" t="str">
        <x:v>Jornada</x:v>
      </x:c>
      <x:c r="B18" s="16" t="str">
        <x:v>08:00–17:00, descanso 60 min (8 h netas antes de tareas indirectas)</x:v>
      </x:c>
    </x:row>
    <x:row r="19">
      <x:c r="A19" s="12" t="str">
        <x:v>Capacidad para asignación</x:v>
      </x:c>
      <x:c r="B19" s="16" t="str">
        <x:v>480 min netos − 30 min de tareas indirectas = 450 min por operaria/día</x:v>
      </x:c>
    </x:row>
    <x:row r="20">
      <x:c r="A20" s="12" t="str">
        <x:v>Calendario</x:v>
      </x:c>
      <x:c r="B20" s="16" t="str">
        <x:v>Lunes a viernes; feriados y máquinas reales PENDIENTES DE VALIDAR</x:v>
      </x:c>
    </x:row>
    <x:row r="21">
      <x:c r="A21" s="12" t="str">
        <x:v>Importante</x:v>
      </x:c>
      <x:c r="B21" s="16" t="str">
        <x:v>No presentar ningún registro ni KPI como medido o verificado en Bellísimas Novias</x:v>
      </x:c>
    </x:row>
    <x:row r="22">
      <x:c r="A22" s="12" t="str">
        <x:v>Claves</x:v>
      </x:c>
      <x:c r="B22" s="16" t="str">
        <x:v>ID_Pedido, ID_Operacion_Pedido e ID_Operaria enlazan los cuatro libros</x:v>
      </x:c>
    </x:row>
    <x:row r="24">
      <x:c r="A24" s="7" t="str">
        <x:v>PRECAUCIÓN DE USO</x:v>
      </x:c>
      <x:c r="B24" s="7" t="str">
        <x:v>DETALLE</x:v>
      </x:c>
    </x:row>
    <x:row r="25" ht="35" customHeight="1">
      <x:c r="A25" t="str">
        <x:v>01</x:v>
      </x:c>
      <x:c r="B25" s="16" t="str">
        <x:v>No identifica a ninguna empleada real. Los niveles no miden productividad ni calidad observada.</x:v>
      </x:c>
    </x:row>
    <x:row r="26" ht="35" customHeight="1">
      <x:c r="A26" t="str">
        <x:v>02</x:v>
      </x:c>
      <x:c r="B26" s="16" t="str">
        <x:v>Habilidades: 0 no habilitada; 1 básica; 2 autónoma; 3 experta. Pedidos Alta requieren nivel &gt;= 2; resto &gt;= 1.</x:v>
      </x:c>
    </x:row>
    <x:row r="27" ht="35" customHeight="1">
      <x:c r="A27" t="str">
        <x:v>03</x:v>
      </x:c>
      <x:c r="B27" s="16" t="str">
        <x:v>Calendario futuro es supuesto de prueba. Verificar feriados, permisos, máquinas y tiempos indirectos reales.</x:v>
      </x:c>
    </x:row>
    <x:row r="28" ht="35" customHeight="1">
      <x:c r="A28" t="str">
        <x:v>04</x:v>
      </x:c>
      <x:c r="B28" s="16" t="str">
        <x:v>Compromisos_Externos_Min excluye el trabajo pendiente C2; no duplicar carga con operaciones En proceso.</x:v>
      </x:c>
    </x:row>
  </x:sheetData>
  <x:mergeCells>
    <x:mergeCell ref="A1:H2"/>
    <x:mergeCell ref="A4:H4"/>
    <x:mergeCell ref="A6:H7"/>
    <x:mergeCell ref="A9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4" hidden="0" customWidth="1"/>
    <x:col min="5" max="5" width="13" hidden="0" customWidth="1"/>
    <x:col min="6" max="6" width="22" hidden="0" customWidth="1"/>
    <x:col min="7" max="7" width="14" hidden="0" customWidth="1"/>
    <x:col min="8" max="8" width="16" hidden="0" customWidth="1"/>
    <x:col min="9" max="9" width="24" hidden="0" customWidth="1"/>
    <x:col min="10" max="10" width="26" hidden="0" customWidth="1"/>
    <x:col min="11" max="11" width="13" hidden="0" customWidth="1"/>
  </x:cols>
  <x:sheetData>
    <x:row r="1" ht="37" customHeight="1">
      <x:c r="A1" s="23" t="str">
        <x:v>ID_Operaria</x:v>
      </x:c>
      <x:c r="B1" s="23" t="str">
        <x:v>Alias_Anonimo</x:v>
      </x:c>
      <x:c r="C1" s="23" t="str">
        <x:v>Disponible_Corte</x:v>
      </x:c>
      <x:c r="D1" s="23" t="str">
        <x:v>Turno_Inicio</x:v>
      </x:c>
      <x:c r="E1" s="23" t="str">
        <x:v>Turno_Fin</x:v>
      </x:c>
      <x:c r="F1" s="23" t="str">
        <x:v>Jornada_Bruta_Min</x:v>
      </x:c>
      <x:c r="G1" s="23" t="str">
        <x:v>Descanso_Min</x:v>
      </x:c>
      <x:c r="H1" s="23" t="str">
        <x:v>Indirectos_Min</x:v>
      </x:c>
      <x:c r="I1" s="23" t="str">
        <x:v>Capacidad_Neta_Min</x:v>
      </x:c>
      <x:c r="J1" s="23" t="str">
        <x:v>Especialidad_Referencia</x:v>
      </x:c>
      <x:c r="K1" s="23" t="str">
        <x:v>Origen_Dato</x:v>
      </x:c>
    </x:row>
    <x:row r="2">
      <x:c r="A2" t="str">
        <x:v>O001</x:v>
      </x:c>
      <x:c r="B2" t="str">
        <x:v>Operaria 01</x:v>
      </x:c>
      <x:c r="C2" t="str">
        <x:v>Sí</x:v>
      </x:c>
      <x:c r="D2" t="str">
        <x:v>08:00</x:v>
      </x:c>
      <x:c r="E2" t="str">
        <x:v>17:00</x:v>
      </x:c>
      <x:c r="F2" t="n">
        <x:v>540</x:v>
      </x:c>
      <x:c r="G2" t="n">
        <x:v>60</x:v>
      </x:c>
      <x:c r="H2" t="n">
        <x:v>30</x:v>
      </x:c>
      <x:c r="I2" t="n">
        <x:f>MAX(0,F2-G2-H2)</x:f>
        <x:v>450</x:v>
      </x:c>
      <x:c r="J2" t="str">
        <x:v>Corte</x:v>
      </x:c>
      <x:c r="K2" t="str">
        <x:v>SIMULADO</x:v>
      </x:c>
    </x:row>
    <x:row r="3">
      <x:c r="A3" t="str">
        <x:v>O002</x:v>
      </x:c>
      <x:c r="B3" t="str">
        <x:v>Operaria 02</x:v>
      </x:c>
      <x:c r="C3" t="str">
        <x:v>Sí</x:v>
      </x:c>
      <x:c r="D3" t="str">
        <x:v>08:00</x:v>
      </x:c>
      <x:c r="E3" t="str">
        <x:v>17:00</x:v>
      </x:c>
      <x:c r="F3" t="n">
        <x:v>540</x:v>
      </x:c>
      <x:c r="G3" t="n">
        <x:v>60</x:v>
      </x:c>
      <x:c r="H3" t="n">
        <x:v>30</x:v>
      </x:c>
      <x:c r="I3" t="n">
        <x:f>MAX(0,F3-G3-H3)</x:f>
        <x:v>450</x:v>
      </x:c>
      <x:c r="J3" t="str">
        <x:v>Ensamblaje</x:v>
      </x:c>
      <x:c r="K3" t="str">
        <x:v>SIMULADO</x:v>
      </x:c>
    </x:row>
    <x:row r="4">
      <x:c r="A4" t="str">
        <x:v>O003</x:v>
      </x:c>
      <x:c r="B4" t="str">
        <x:v>Operaria 03</x:v>
      </x:c>
      <x:c r="C4" t="str">
        <x:v>Sí</x:v>
      </x:c>
      <x:c r="D4" t="str">
        <x:v>08:00</x:v>
      </x:c>
      <x:c r="E4" t="str">
        <x:v>17:00</x:v>
      </x:c>
      <x:c r="F4" t="n">
        <x:v>540</x:v>
      </x:c>
      <x:c r="G4" t="n">
        <x:v>60</x:v>
      </x:c>
      <x:c r="H4" t="n">
        <x:v>30</x:v>
      </x:c>
      <x:c r="I4" t="n">
        <x:f>MAX(0,F4-G4-H4)</x:f>
        <x:v>450</x:v>
      </x:c>
      <x:c r="J4" t="str">
        <x:v>Ensamblaje</x:v>
      </x:c>
      <x:c r="K4" t="str">
        <x:v>SIMULADO</x:v>
      </x:c>
    </x:row>
    <x:row r="5">
      <x:c r="A5" t="str">
        <x:v>O004</x:v>
      </x:c>
      <x:c r="B5" t="str">
        <x:v>Operaria 04</x:v>
      </x:c>
      <x:c r="C5" t="str">
        <x:v>Sí</x:v>
      </x:c>
      <x:c r="D5" t="str">
        <x:v>08:00</x:v>
      </x:c>
      <x:c r="E5" t="str">
        <x:v>17:00</x:v>
      </x:c>
      <x:c r="F5" t="n">
        <x:v>540</x:v>
      </x:c>
      <x:c r="G5" t="n">
        <x:v>60</x:v>
      </x:c>
      <x:c r="H5" t="n">
        <x:v>30</x:v>
      </x:c>
      <x:c r="I5" t="n">
        <x:f>MAX(0,F5-G5-H5)</x:f>
        <x:v>450</x:v>
      </x:c>
      <x:c r="J5" t="str">
        <x:v>Acabados y detalles</x:v>
      </x:c>
      <x:c r="K5" t="str">
        <x:v>SIMULADO</x:v>
      </x:c>
    </x:row>
    <x:row r="6">
      <x:c r="A6" t="str">
        <x:v>O005</x:v>
      </x:c>
      <x:c r="B6" t="str">
        <x:v>Operaria 05</x:v>
      </x:c>
      <x:c r="C6" t="str">
        <x:v>Sí</x:v>
      </x:c>
      <x:c r="D6" t="str">
        <x:v>08:00</x:v>
      </x:c>
      <x:c r="E6" t="str">
        <x:v>17:00</x:v>
      </x:c>
      <x:c r="F6" t="n">
        <x:v>540</x:v>
      </x:c>
      <x:c r="G6" t="n">
        <x:v>60</x:v>
      </x:c>
      <x:c r="H6" t="n">
        <x:v>30</x:v>
      </x:c>
      <x:c r="I6" t="n">
        <x:f>MAX(0,F6-G6-H6)</x:f>
        <x:v>450</x:v>
      </x:c>
      <x:c r="J6" t="str">
        <x:v>Corte</x:v>
      </x:c>
      <x:c r="K6" t="str">
        <x:v>SIMULADO</x:v>
      </x:c>
    </x:row>
  </x:sheetData>
  <x:dataValidations count="1">
    <x:dataValidation type="list" sqref="C2:C3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4a9a4bda2947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24" hidden="0" customWidth="1"/>
    <x:col min="5" max="5" width="18" hidden="0" customWidth="1"/>
  </x:cols>
  <x:sheetData>
    <x:row r="1" ht="37" customHeight="1">
      <x:c r="A1" s="23" t="str">
        <x:v>ID_Operaria</x:v>
      </x:c>
      <x:c r="B1" s="23" t="str">
        <x:v>Operacion</x:v>
      </x:c>
      <x:c r="C1" s="23" t="str">
        <x:v>Nivel</x:v>
      </x:c>
      <x:c r="D1" s="23" t="str">
        <x:v>Habilitada_Alta</x:v>
      </x:c>
      <x:c r="E1" s="23" t="str">
        <x:v>Origen_Dato</x:v>
      </x:c>
    </x:row>
    <x:row r="2">
      <x:c r="A2" t="str">
        <x:v>O001</x:v>
      </x:c>
      <x:c r="B2" t="str">
        <x:v>Corte</x:v>
      </x:c>
      <x:c r="C2" t="n">
        <x:v>3</x:v>
      </x:c>
      <x:c r="D2" t="str">
        <x:f>IF(C2&gt;=2,"Sí","No")</x:f>
        <x:v>Sí</x:v>
      </x:c>
      <x:c r="E2" t="str">
        <x:v>SIMULADO</x:v>
      </x:c>
    </x:row>
    <x:row r="3">
      <x:c r="A3" t="str">
        <x:v>O001</x:v>
      </x:c>
      <x:c r="B3" t="str">
        <x:v>Ensamblaje</x:v>
      </x:c>
      <x:c r="C3" t="n">
        <x:v>2</x:v>
      </x:c>
      <x:c r="D3" t="str">
        <x:f>IF(C3&gt;=2,"Sí","No")</x:f>
        <x:v>Sí</x:v>
      </x:c>
      <x:c r="E3" t="str">
        <x:v>SIMULADO</x:v>
      </x:c>
    </x:row>
    <x:row r="4">
      <x:c r="A4" t="str">
        <x:v>O001</x:v>
      </x:c>
      <x:c r="B4" t="str">
        <x:v>Acabados y detalles</x:v>
      </x:c>
      <x:c r="C4" t="n">
        <x:v>2</x:v>
      </x:c>
      <x:c r="D4" t="str">
        <x:f>IF(C4&gt;=2,"Sí","No")</x:f>
        <x:v>Sí</x:v>
      </x:c>
      <x:c r="E4" t="str">
        <x:v>SIMULADO</x:v>
      </x:c>
    </x:row>
    <x:row r="5">
      <x:c r="A5" t="str">
        <x:v>O001</x:v>
      </x:c>
      <x:c r="B5" t="str">
        <x:v>Planchado</x:v>
      </x:c>
      <x:c r="C5" t="n">
        <x:v>2</x:v>
      </x:c>
      <x:c r="D5" t="str">
        <x:f>IF(C5&gt;=2,"Sí","No")</x:f>
        <x:v>Sí</x:v>
      </x:c>
      <x:c r="E5" t="str">
        <x:v>SIMULADO</x:v>
      </x:c>
    </x:row>
    <x:row r="6">
      <x:c r="A6" t="str">
        <x:v>O002</x:v>
      </x:c>
      <x:c r="B6" t="str">
        <x:v>Corte</x:v>
      </x:c>
      <x:c r="C6" t="n">
        <x:v>2</x:v>
      </x:c>
      <x:c r="D6" t="str">
        <x:f>IF(C6&gt;=2,"Sí","No")</x:f>
        <x:v>Sí</x:v>
      </x:c>
      <x:c r="E6" t="str">
        <x:v>SIMULADO</x:v>
      </x:c>
    </x:row>
    <x:row r="7">
      <x:c r="A7" t="str">
        <x:v>O002</x:v>
      </x:c>
      <x:c r="B7" t="str">
        <x:v>Ensamblaje</x:v>
      </x:c>
      <x:c r="C7" t="n">
        <x:v>3</x:v>
      </x:c>
      <x:c r="D7" t="str">
        <x:f>IF(C7&gt;=2,"Sí","No")</x:f>
        <x:v>Sí</x:v>
      </x:c>
      <x:c r="E7" t="str">
        <x:v>SIMULADO</x:v>
      </x:c>
    </x:row>
    <x:row r="8">
      <x:c r="A8" t="str">
        <x:v>O002</x:v>
      </x:c>
      <x:c r="B8" t="str">
        <x:v>Acabados y detalles</x:v>
      </x:c>
      <x:c r="C8" t="n">
        <x:v>2</x:v>
      </x:c>
      <x:c r="D8" t="str">
        <x:f>IF(C8&gt;=2,"Sí","No")</x:f>
        <x:v>Sí</x:v>
      </x:c>
      <x:c r="E8" t="str">
        <x:v>SIMULADO</x:v>
      </x:c>
    </x:row>
    <x:row r="9">
      <x:c r="A9" t="str">
        <x:v>O002</x:v>
      </x:c>
      <x:c r="B9" t="str">
        <x:v>Planchado</x:v>
      </x:c>
      <x:c r="C9" t="n">
        <x:v>1</x:v>
      </x:c>
      <x:c r="D9" t="str">
        <x:f>IF(C9&gt;=2,"Sí","No")</x:f>
        <x:v>No</x:v>
      </x:c>
      <x:c r="E9" t="str">
        <x:v>SIMULADO</x:v>
      </x:c>
    </x:row>
    <x:row r="10">
      <x:c r="A10" t="str">
        <x:v>O003</x:v>
      </x:c>
      <x:c r="B10" t="str">
        <x:v>Corte</x:v>
      </x:c>
      <x:c r="C10" t="n">
        <x:v>1</x:v>
      </x:c>
      <x:c r="D10" t="str">
        <x:f>IF(C10&gt;=2,"Sí","No")</x:f>
        <x:v>No</x:v>
      </x:c>
      <x:c r="E10" t="str">
        <x:v>SIMULADO</x:v>
      </x:c>
    </x:row>
    <x:row r="11">
      <x:c r="A11" t="str">
        <x:v>O003</x:v>
      </x:c>
      <x:c r="B11" t="str">
        <x:v>Ensamblaje</x:v>
      </x:c>
      <x:c r="C11" t="n">
        <x:v>3</x:v>
      </x:c>
      <x:c r="D11" t="str">
        <x:f>IF(C11&gt;=2,"Sí","No")</x:f>
        <x:v>Sí</x:v>
      </x:c>
      <x:c r="E11" t="str">
        <x:v>SIMULADO</x:v>
      </x:c>
    </x:row>
    <x:row r="12">
      <x:c r="A12" t="str">
        <x:v>O003</x:v>
      </x:c>
      <x:c r="B12" t="str">
        <x:v>Acabados y detalles</x:v>
      </x:c>
      <x:c r="C12" t="n">
        <x:v>3</x:v>
      </x:c>
      <x:c r="D12" t="str">
        <x:f>IF(C12&gt;=2,"Sí","No")</x:f>
        <x:v>Sí</x:v>
      </x:c>
      <x:c r="E12" t="str">
        <x:v>SIMULADO</x:v>
      </x:c>
    </x:row>
    <x:row r="13">
      <x:c r="A13" t="str">
        <x:v>O003</x:v>
      </x:c>
      <x:c r="B13" t="str">
        <x:v>Planchado</x:v>
      </x:c>
      <x:c r="C13" t="n">
        <x:v>1</x:v>
      </x:c>
      <x:c r="D13" t="str">
        <x:f>IF(C13&gt;=2,"Sí","No")</x:f>
        <x:v>No</x:v>
      </x:c>
      <x:c r="E13" t="str">
        <x:v>SIMULADO</x:v>
      </x:c>
    </x:row>
    <x:row r="14">
      <x:c r="A14" t="str">
        <x:v>O004</x:v>
      </x:c>
      <x:c r="B14" t="str">
        <x:v>Corte</x:v>
      </x:c>
      <x:c r="C14" t="n">
        <x:v>2</x:v>
      </x:c>
      <x:c r="D14" t="str">
        <x:f>IF(C14&gt;=2,"Sí","No")</x:f>
        <x:v>Sí</x:v>
      </x:c>
      <x:c r="E14" t="str">
        <x:v>SIMULADO</x:v>
      </x:c>
    </x:row>
    <x:row r="15">
      <x:c r="A15" t="str">
        <x:v>O004</x:v>
      </x:c>
      <x:c r="B15" t="str">
        <x:v>Ensamblaje</x:v>
      </x:c>
      <x:c r="C15" t="n">
        <x:v>2</x:v>
      </x:c>
      <x:c r="D15" t="str">
        <x:f>IF(C15&gt;=2,"Sí","No")</x:f>
        <x:v>Sí</x:v>
      </x:c>
      <x:c r="E15" t="str">
        <x:v>SIMULADO</x:v>
      </x:c>
    </x:row>
    <x:row r="16">
      <x:c r="A16" t="str">
        <x:v>O004</x:v>
      </x:c>
      <x:c r="B16" t="str">
        <x:v>Acabados y detalles</x:v>
      </x:c>
      <x:c r="C16" t="n">
        <x:v>3</x:v>
      </x:c>
      <x:c r="D16" t="str">
        <x:f>IF(C16&gt;=2,"Sí","No")</x:f>
        <x:v>Sí</x:v>
      </x:c>
      <x:c r="E16" t="str">
        <x:v>SIMULADO</x:v>
      </x:c>
    </x:row>
    <x:row r="17">
      <x:c r="A17" t="str">
        <x:v>O004</x:v>
      </x:c>
      <x:c r="B17" t="str">
        <x:v>Planchado</x:v>
      </x:c>
      <x:c r="C17" t="n">
        <x:v>3</x:v>
      </x:c>
      <x:c r="D17" t="str">
        <x:f>IF(C17&gt;=2,"Sí","No")</x:f>
        <x:v>Sí</x:v>
      </x:c>
      <x:c r="E17" t="str">
        <x:v>SIMULADO</x:v>
      </x:c>
    </x:row>
    <x:row r="18">
      <x:c r="A18" t="str">
        <x:v>O005</x:v>
      </x:c>
      <x:c r="B18" t="str">
        <x:v>Corte</x:v>
      </x:c>
      <x:c r="C18" t="n">
        <x:v>3</x:v>
      </x:c>
      <x:c r="D18" t="str">
        <x:f>IF(C18&gt;=2,"Sí","No")</x:f>
        <x:v>Sí</x:v>
      </x:c>
      <x:c r="E18" t="str">
        <x:v>SIMULADO</x:v>
      </x:c>
    </x:row>
    <x:row r="19">
      <x:c r="A19" t="str">
        <x:v>O005</x:v>
      </x:c>
      <x:c r="B19" t="str">
        <x:v>Ensamblaje</x:v>
      </x:c>
      <x:c r="C19" t="n">
        <x:v>2</x:v>
      </x:c>
      <x:c r="D19" t="str">
        <x:f>IF(C19&gt;=2,"Sí","No")</x:f>
        <x:v>Sí</x:v>
      </x:c>
      <x:c r="E19" t="str">
        <x:v>SIMULADO</x:v>
      </x:c>
    </x:row>
    <x:row r="20">
      <x:c r="A20" t="str">
        <x:v>O005</x:v>
      </x:c>
      <x:c r="B20" t="str">
        <x:v>Acabados y detalles</x:v>
      </x:c>
      <x:c r="C20" t="n">
        <x:v>2</x:v>
      </x:c>
      <x:c r="D20" t="str">
        <x:f>IF(C20&gt;=2,"Sí","No")</x:f>
        <x:v>Sí</x:v>
      </x:c>
      <x:c r="E20" t="str">
        <x:v>SIMULADO</x:v>
      </x:c>
    </x:row>
    <x:row r="21">
      <x:c r="A21" t="str">
        <x:v>O005</x:v>
      </x:c>
      <x:c r="B21" t="str">
        <x:v>Planchado</x:v>
      </x:c>
      <x:c r="C21" t="n">
        <x:v>3</x:v>
      </x:c>
      <x:c r="D21" t="str">
        <x:f>IF(C21&gt;=2,"Sí","No")</x:f>
        <x:v>Sí</x:v>
      </x:c>
      <x:c r="E21" t="str">
        <x:v>SIMULADO</x:v>
      </x:c>
    </x:row>
  </x:sheetData>
  <x:dataValidations count="2">
    <x:dataValidation type="list" sqref="C2:C45">
      <x:formula1>"0,1,2,3"</x:formula1>
    </x:dataValidation>
    <x:dataValidation type="list" sqref="B2:B45">
      <x:formula1>"Corte,Ensamblaje,Acabados y detalles,Planchado"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5817788664b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3" hidden="0" customWidth="1"/>
    <x:col min="4" max="4" width="20" hidden="0" customWidth="1"/>
    <x:col min="5" max="5" width="27" hidden="0" customWidth="1"/>
    <x:col min="6" max="6" width="28" hidden="0" customWidth="1"/>
    <x:col min="7" max="7" width="41" hidden="0" customWidth="1"/>
    <x:col min="8" max="8" width="13" hidden="0" customWidth="1"/>
  </x:cols>
  <x:sheetData>
    <x:row r="1" ht="37" customHeight="1">
      <x:c r="A1" s="23" t="str">
        <x:v>Fecha</x:v>
      </x:c>
      <x:c r="B1" s="23" t="str">
        <x:v>ID_Operaria</x:v>
      </x:c>
      <x:c r="C1" s="23" t="str">
        <x:v>Disponible</x:v>
      </x:c>
      <x:c r="D1" s="23" t="str">
        <x:v>Capacidad_Base_Min</x:v>
      </x:c>
      <x:c r="E1" s="23" t="str">
        <x:v>Compromisos_Externos_Min</x:v>
      </x:c>
      <x:c r="F1" s="23" t="str">
        <x:v>Capacidad_Programable_Min</x:v>
      </x:c>
      <x:c r="G1" s="23" t="str">
        <x:v>Observacion</x:v>
      </x:c>
      <x:c r="H1" s="23" t="str">
        <x:v>Origen_Dato</x:v>
      </x:c>
    </x:row>
    <x:row r="2">
      <x:c r="A2" s="18" t="n">
        <x:v>46282</x:v>
      </x:c>
      <x:c r="B2" t="str">
        <x:v>O001</x:v>
      </x:c>
      <x:c r="C2" t="str">
        <x:v>Sí</x:v>
      </x:c>
      <x:c r="D2" t="n">
        <x:f>Operarias!I2</x:f>
        <x:v>450</x:v>
      </x:c>
      <x:c r="E2" t="n">
        <x:v>0</x:v>
      </x:c>
      <x:c r="F2" t="n">
        <x:f>IF(C2="Sí",MAX(0,D2-E2),0)</x:f>
        <x:v>450</x:v>
      </x:c>
      <x:c r="G2" t="str">
        <x:v>Sin excepción declarada</x:v>
      </x:c>
      <x:c r="H2" t="str">
        <x:v>SIMULADO</x:v>
      </x:c>
    </x:row>
    <x:row r="3">
      <x:c r="A3" s="18" t="n">
        <x:v>46282</x:v>
      </x:c>
      <x:c r="B3" t="str">
        <x:v>O002</x:v>
      </x:c>
      <x:c r="C3" t="str">
        <x:v>Sí</x:v>
      </x:c>
      <x:c r="D3" t="n">
        <x:f>Operarias!I3</x:f>
        <x:v>450</x:v>
      </x:c>
      <x:c r="E3" t="n">
        <x:v>0</x:v>
      </x:c>
      <x:c r="F3" t="n">
        <x:f>IF(C3="Sí",MAX(0,D3-E3),0)</x:f>
        <x:v>450</x:v>
      </x:c>
      <x:c r="G3" t="str">
        <x:v>Sin excepción declarada</x:v>
      </x:c>
      <x:c r="H3" t="str">
        <x:v>SIMULADO</x:v>
      </x:c>
    </x:row>
    <x:row r="4">
      <x:c r="A4" s="18" t="n">
        <x:v>46282</x:v>
      </x:c>
      <x:c r="B4" t="str">
        <x:v>O003</x:v>
      </x:c>
      <x:c r="C4" t="str">
        <x:v>Sí</x:v>
      </x:c>
      <x:c r="D4" t="n">
        <x:f>Operarias!I4</x:f>
        <x:v>450</x:v>
      </x:c>
      <x:c r="E4" t="n">
        <x:v>0</x:v>
      </x:c>
      <x:c r="F4" t="n">
        <x:f>IF(C4="Sí",MAX(0,D4-E4),0)</x:f>
        <x:v>450</x:v>
      </x:c>
      <x:c r="G4" t="str">
        <x:v>Sin excepción declarada</x:v>
      </x:c>
      <x:c r="H4" t="str">
        <x:v>SIMULADO</x:v>
      </x:c>
    </x:row>
    <x:row r="5">
      <x:c r="A5" s="18" t="n">
        <x:v>46282</x:v>
      </x:c>
      <x:c r="B5" t="str">
        <x:v>O004</x:v>
      </x:c>
      <x:c r="C5" t="str">
        <x:v>Sí</x:v>
      </x:c>
      <x:c r="D5" t="n">
        <x:f>Operarias!I5</x:f>
        <x:v>450</x:v>
      </x:c>
      <x:c r="E5" t="n">
        <x:v>0</x:v>
      </x:c>
      <x:c r="F5" t="n">
        <x:f>IF(C5="Sí",MAX(0,D5-E5),0)</x:f>
        <x:v>450</x:v>
      </x:c>
      <x:c r="G5" t="str">
        <x:v>Sin excepción declarada</x:v>
      </x:c>
      <x:c r="H5" t="str">
        <x:v>SIMULADO</x:v>
      </x:c>
    </x:row>
    <x:row r="6">
      <x:c r="A6" s="18" t="n">
        <x:v>46282</x:v>
      </x:c>
      <x:c r="B6" t="str">
        <x:v>O005</x:v>
      </x:c>
      <x:c r="C6" t="str">
        <x:v>Sí</x:v>
      </x:c>
      <x:c r="D6" t="n">
        <x:f>Operarias!I6</x:f>
        <x:v>450</x:v>
      </x:c>
      <x:c r="E6" t="n">
        <x:v>0</x:v>
      </x:c>
      <x:c r="F6" t="n">
        <x:f>IF(C6="Sí",MAX(0,D6-E6),0)</x:f>
        <x:v>450</x:v>
      </x:c>
      <x:c r="G6" t="str">
        <x:v>Sin excepción declarada</x:v>
      </x:c>
      <x:c r="H6" t="str">
        <x:v>SIMULADO</x:v>
      </x:c>
    </x:row>
    <x:row r="7">
      <x:c r="A7" s="18" t="n">
        <x:v>46283</x:v>
      </x:c>
      <x:c r="B7" t="str">
        <x:v>O001</x:v>
      </x:c>
      <x:c r="C7" t="str">
        <x:v>Sí</x:v>
      </x:c>
      <x:c r="D7" t="n">
        <x:f>Operarias!I2</x:f>
        <x:v>450</x:v>
      </x:c>
      <x:c r="E7" t="n">
        <x:v>0</x:v>
      </x:c>
      <x:c r="F7" t="n">
        <x:f>IF(C7="Sí",MAX(0,D7-E7),0)</x:f>
        <x:v>450</x:v>
      </x:c>
      <x:c r="G7" t="str">
        <x:v>Sin excepción declarada</x:v>
      </x:c>
      <x:c r="H7" t="str">
        <x:v>SIMULADO</x:v>
      </x:c>
    </x:row>
    <x:row r="8">
      <x:c r="A8" s="18" t="n">
        <x:v>46283</x:v>
      </x:c>
      <x:c r="B8" t="str">
        <x:v>O002</x:v>
      </x:c>
      <x:c r="C8" t="str">
        <x:v>Sí</x:v>
      </x:c>
      <x:c r="D8" t="n">
        <x:f>Operarias!I3</x:f>
        <x:v>450</x:v>
      </x:c>
      <x:c r="E8" t="n">
        <x:v>0</x:v>
      </x:c>
      <x:c r="F8" t="n">
        <x:f>IF(C8="Sí",MAX(0,D8-E8),0)</x:f>
        <x:v>450</x:v>
      </x:c>
      <x:c r="G8" t="str">
        <x:v>Sin excepción declarada</x:v>
      </x:c>
      <x:c r="H8" t="str">
        <x:v>SIMULADO</x:v>
      </x:c>
    </x:row>
    <x:row r="9">
      <x:c r="A9" s="18" t="n">
        <x:v>46283</x:v>
      </x:c>
      <x:c r="B9" t="str">
        <x:v>O003</x:v>
      </x:c>
      <x:c r="C9" t="str">
        <x:v>Sí</x:v>
      </x:c>
      <x:c r="D9" t="n">
        <x:f>Operarias!I4</x:f>
        <x:v>450</x:v>
      </x:c>
      <x:c r="E9" t="n">
        <x:v>0</x:v>
      </x:c>
      <x:c r="F9" t="n">
        <x:f>IF(C9="Sí",MAX(0,D9-E9),0)</x:f>
        <x:v>450</x:v>
      </x:c>
      <x:c r="G9" t="str">
        <x:v>Sin excepción declarada</x:v>
      </x:c>
      <x:c r="H9" t="str">
        <x:v>SIMULADO</x:v>
      </x:c>
    </x:row>
    <x:row r="10">
      <x:c r="A10" s="18" t="n">
        <x:v>46283</x:v>
      </x:c>
      <x:c r="B10" t="str">
        <x:v>O004</x:v>
      </x:c>
      <x:c r="C10" t="str">
        <x:v>Sí</x:v>
      </x:c>
      <x:c r="D10" t="n">
        <x:f>Operarias!I5</x:f>
        <x:v>450</x:v>
      </x:c>
      <x:c r="E10" t="n">
        <x:v>0</x:v>
      </x:c>
      <x:c r="F10" t="n">
        <x:f>IF(C10="Sí",MAX(0,D10-E10),0)</x:f>
        <x:v>450</x:v>
      </x:c>
      <x:c r="G10" t="str">
        <x:v>Sin excepción declarada</x:v>
      </x:c>
      <x:c r="H10" t="str">
        <x:v>SIMULADO</x:v>
      </x:c>
    </x:row>
    <x:row r="11">
      <x:c r="A11" s="18" t="n">
        <x:v>46283</x:v>
      </x:c>
      <x:c r="B11" t="str">
        <x:v>O005</x:v>
      </x:c>
      <x:c r="C11" t="str">
        <x:v>Sí</x:v>
      </x:c>
      <x:c r="D11" t="n">
        <x:f>Operarias!I6</x:f>
        <x:v>450</x:v>
      </x:c>
      <x:c r="E11" t="n">
        <x:v>0</x:v>
      </x:c>
      <x:c r="F11" t="n">
        <x:f>IF(C11="Sí",MAX(0,D11-E11),0)</x:f>
        <x:v>450</x:v>
      </x:c>
      <x:c r="G11" t="str">
        <x:v>Sin excepción declarada</x:v>
      </x:c>
      <x:c r="H11" t="str">
        <x:v>SIMULADO</x:v>
      </x:c>
    </x:row>
    <x:row r="12">
      <x:c r="A12" s="18" t="n">
        <x:v>46286</x:v>
      </x:c>
      <x:c r="B12" t="str">
        <x:v>O001</x:v>
      </x:c>
      <x:c r="C12" t="str">
        <x:v>Sí</x:v>
      </x:c>
      <x:c r="D12" t="n">
        <x:f>Operarias!I2</x:f>
        <x:v>450</x:v>
      </x:c>
      <x:c r="E12" t="n">
        <x:v>0</x:v>
      </x:c>
      <x:c r="F12" t="n">
        <x:f>IF(C12="Sí",MAX(0,D12-E12),0)</x:f>
        <x:v>450</x:v>
      </x:c>
      <x:c r="G12" t="str">
        <x:v>Sin excepción declarada</x:v>
      </x:c>
      <x:c r="H12" t="str">
        <x:v>SIMULADO</x:v>
      </x:c>
    </x:row>
    <x:row r="13">
      <x:c r="A13" s="18" t="n">
        <x:v>46286</x:v>
      </x:c>
      <x:c r="B13" t="str">
        <x:v>O002</x:v>
      </x:c>
      <x:c r="C13" t="str">
        <x:v>Sí</x:v>
      </x:c>
      <x:c r="D13" t="n">
        <x:f>Operarias!I3</x:f>
        <x:v>450</x:v>
      </x:c>
      <x:c r="E13" t="n">
        <x:v>0</x:v>
      </x:c>
      <x:c r="F13" t="n">
        <x:f>IF(C13="Sí",MAX(0,D13-E13),0)</x:f>
        <x:v>450</x:v>
      </x:c>
      <x:c r="G13" t="str">
        <x:v>Sin excepción declarada</x:v>
      </x:c>
      <x:c r="H13" t="str">
        <x:v>SIMULADO</x:v>
      </x:c>
    </x:row>
    <x:row r="14">
      <x:c r="A14" s="18" t="n">
        <x:v>46286</x:v>
      </x:c>
      <x:c r="B14" t="str">
        <x:v>O003</x:v>
      </x:c>
      <x:c r="C14" t="str">
        <x:v>Sí</x:v>
      </x:c>
      <x:c r="D14" t="n">
        <x:f>Operarias!I4</x:f>
        <x:v>450</x:v>
      </x:c>
      <x:c r="E14" t="n">
        <x:v>0</x:v>
      </x:c>
      <x:c r="F14" t="n">
        <x:f>IF(C14="Sí",MAX(0,D14-E14),0)</x:f>
        <x:v>450</x:v>
      </x:c>
      <x:c r="G14" t="str">
        <x:v>Sin excepción declarada</x:v>
      </x:c>
      <x:c r="H14" t="str">
        <x:v>SIMULADO</x:v>
      </x:c>
    </x:row>
    <x:row r="15">
      <x:c r="A15" s="18" t="n">
        <x:v>46286</x:v>
      </x:c>
      <x:c r="B15" t="str">
        <x:v>O004</x:v>
      </x:c>
      <x:c r="C15" t="str">
        <x:v>Sí</x:v>
      </x:c>
      <x:c r="D15" t="n">
        <x:f>Operarias!I5</x:f>
        <x:v>450</x:v>
      </x:c>
      <x:c r="E15" t="n">
        <x:v>0</x:v>
      </x:c>
      <x:c r="F15" t="n">
        <x:f>IF(C15="Sí",MAX(0,D15-E15),0)</x:f>
        <x:v>450</x:v>
      </x:c>
      <x:c r="G15" t="str">
        <x:v>Sin excepción declarada</x:v>
      </x:c>
      <x:c r="H15" t="str">
        <x:v>SIMULADO</x:v>
      </x:c>
    </x:row>
    <x:row r="16">
      <x:c r="A16" s="18" t="n">
        <x:v>46286</x:v>
      </x:c>
      <x:c r="B16" t="str">
        <x:v>O005</x:v>
      </x:c>
      <x:c r="C16" t="str">
        <x:v>Sí</x:v>
      </x:c>
      <x:c r="D16" t="n">
        <x:f>Operarias!I6</x:f>
        <x:v>450</x:v>
      </x:c>
      <x:c r="E16" t="n">
        <x:v>0</x:v>
      </x:c>
      <x:c r="F16" t="n">
        <x:f>IF(C16="Sí",MAX(0,D16-E16),0)</x:f>
        <x:v>450</x:v>
      </x:c>
      <x:c r="G16" t="str">
        <x:v>Sin excepción declarada</x:v>
      </x:c>
      <x:c r="H16" t="str">
        <x:v>SIMULADO</x:v>
      </x:c>
    </x:row>
    <x:row r="17">
      <x:c r="A17" s="18" t="n">
        <x:v>46287</x:v>
      </x:c>
      <x:c r="B17" t="str">
        <x:v>O001</x:v>
      </x:c>
      <x:c r="C17" t="str">
        <x:v>Sí</x:v>
      </x:c>
      <x:c r="D17" t="n">
        <x:f>Operarias!I2</x:f>
        <x:v>450</x:v>
      </x:c>
      <x:c r="E17" t="n">
        <x:v>0</x:v>
      </x:c>
      <x:c r="F17" t="n">
        <x:f>IF(C17="Sí",MAX(0,D17-E17),0)</x:f>
        <x:v>450</x:v>
      </x:c>
      <x:c r="G17" t="str">
        <x:v>Sin excepción declarada</x:v>
      </x:c>
      <x:c r="H17" t="str">
        <x:v>SIMULADO</x:v>
      </x:c>
    </x:row>
    <x:row r="18">
      <x:c r="A18" s="18" t="n">
        <x:v>46287</x:v>
      </x:c>
      <x:c r="B18" t="str">
        <x:v>O002</x:v>
      </x:c>
      <x:c r="C18" t="str">
        <x:v>Sí</x:v>
      </x:c>
      <x:c r="D18" t="n">
        <x:f>Operarias!I3</x:f>
        <x:v>450</x:v>
      </x:c>
      <x:c r="E18" t="n">
        <x:v>0</x:v>
      </x:c>
      <x:c r="F18" t="n">
        <x:f>IF(C18="Sí",MAX(0,D18-E18),0)</x:f>
        <x:v>450</x:v>
      </x:c>
      <x:c r="G18" t="str">
        <x:v>Sin excepción declarada</x:v>
      </x:c>
      <x:c r="H18" t="str">
        <x:v>SIMULADO</x:v>
      </x:c>
    </x:row>
    <x:row r="19">
      <x:c r="A19" s="18" t="n">
        <x:v>46287</x:v>
      </x:c>
      <x:c r="B19" t="str">
        <x:v>O003</x:v>
      </x:c>
      <x:c r="C19" t="str">
        <x:v>Sí</x:v>
      </x:c>
      <x:c r="D19" t="n">
        <x:f>Operarias!I4</x:f>
        <x:v>450</x:v>
      </x:c>
      <x:c r="E19" t="n">
        <x:v>0</x:v>
      </x:c>
      <x:c r="F19" t="n">
        <x:f>IF(C19="Sí",MAX(0,D19-E19),0)</x:f>
        <x:v>450</x:v>
      </x:c>
      <x:c r="G19" t="str">
        <x:v>Sin excepción declarada</x:v>
      </x:c>
      <x:c r="H19" t="str">
        <x:v>SIMULADO</x:v>
      </x:c>
    </x:row>
    <x:row r="20">
      <x:c r="A20" s="18" t="n">
        <x:v>46287</x:v>
      </x:c>
      <x:c r="B20" t="str">
        <x:v>O004</x:v>
      </x:c>
      <x:c r="C20" t="str">
        <x:v>Sí</x:v>
      </x:c>
      <x:c r="D20" t="n">
        <x:f>Operarias!I5</x:f>
        <x:v>450</x:v>
      </x:c>
      <x:c r="E20" t="n">
        <x:v>0</x:v>
      </x:c>
      <x:c r="F20" t="n">
        <x:f>IF(C20="Sí",MAX(0,D20-E20),0)</x:f>
        <x:v>450</x:v>
      </x:c>
      <x:c r="G20" t="str">
        <x:v>Sin excepción declarada</x:v>
      </x:c>
      <x:c r="H20" t="str">
        <x:v>SIMULADO</x:v>
      </x:c>
    </x:row>
    <x:row r="21">
      <x:c r="A21" s="18" t="n">
        <x:v>46287</x:v>
      </x:c>
      <x:c r="B21" t="str">
        <x:v>O005</x:v>
      </x:c>
      <x:c r="C21" t="str">
        <x:v>Sí</x:v>
      </x:c>
      <x:c r="D21" t="n">
        <x:f>Operarias!I6</x:f>
        <x:v>450</x:v>
      </x:c>
      <x:c r="E21" t="n">
        <x:v>0</x:v>
      </x:c>
      <x:c r="F21" t="n">
        <x:f>IF(C21="Sí",MAX(0,D21-E21),0)</x:f>
        <x:v>450</x:v>
      </x:c>
      <x:c r="G21" t="str">
        <x:v>Sin excepción declarada</x:v>
      </x:c>
      <x:c r="H21" t="str">
        <x:v>SIMULADO</x:v>
      </x:c>
    </x:row>
    <x:row r="22">
      <x:c r="A22" s="18" t="n">
        <x:v>46288</x:v>
      </x:c>
      <x:c r="B22" t="str">
        <x:v>O001</x:v>
      </x:c>
      <x:c r="C22" t="str">
        <x:v>Sí</x:v>
      </x:c>
      <x:c r="D22" t="n">
        <x:f>Operarias!I2</x:f>
        <x:v>450</x:v>
      </x:c>
      <x:c r="E22" t="n">
        <x:v>0</x:v>
      </x:c>
      <x:c r="F22" t="n">
        <x:f>IF(C22="Sí",MAX(0,D22-E22),0)</x:f>
        <x:v>450</x:v>
      </x:c>
      <x:c r="G22" t="str">
        <x:v>Sin excepción declarada</x:v>
      </x:c>
      <x:c r="H22" t="str">
        <x:v>SIMULADO</x:v>
      </x:c>
    </x:row>
    <x:row r="23">
      <x:c r="A23" s="18" t="n">
        <x:v>46288</x:v>
      </x:c>
      <x:c r="B23" t="str">
        <x:v>O002</x:v>
      </x:c>
      <x:c r="C23" t="str">
        <x:v>Sí</x:v>
      </x:c>
      <x:c r="D23" t="n">
        <x:f>Operarias!I3</x:f>
        <x:v>450</x:v>
      </x:c>
      <x:c r="E23" t="n">
        <x:v>0</x:v>
      </x:c>
      <x:c r="F23" t="n">
        <x:f>IF(C23="Sí",MAX(0,D23-E23),0)</x:f>
        <x:v>450</x:v>
      </x:c>
      <x:c r="G23" t="str">
        <x:v>Sin excepción declarada</x:v>
      </x:c>
      <x:c r="H23" t="str">
        <x:v>SIMULADO</x:v>
      </x:c>
    </x:row>
    <x:row r="24">
      <x:c r="A24" s="18" t="n">
        <x:v>46288</x:v>
      </x:c>
      <x:c r="B24" t="str">
        <x:v>O003</x:v>
      </x:c>
      <x:c r="C24" t="str">
        <x:v>No</x:v>
      </x:c>
      <x:c r="D24" t="n">
        <x:f>Operarias!I4</x:f>
        <x:v>450</x:v>
      </x:c>
      <x:c r="E24" t="n">
        <x:v>0</x:v>
      </x:c>
      <x:c r="F24" t="n">
        <x:f>IF(C24="Sí",MAX(0,D24-E24),0)</x:f>
        <x:v>0</x:v>
      </x:c>
      <x:c r="G24" t="str">
        <x:v>Ausencia simulada</x:v>
      </x:c>
      <x:c r="H24" t="str">
        <x:v>SIMULADO</x:v>
      </x:c>
    </x:row>
    <x:row r="25">
      <x:c r="A25" s="18" t="n">
        <x:v>46288</x:v>
      </x:c>
      <x:c r="B25" t="str">
        <x:v>O004</x:v>
      </x:c>
      <x:c r="C25" t="str">
        <x:v>Sí</x:v>
      </x:c>
      <x:c r="D25" t="n">
        <x:f>Operarias!I5</x:f>
        <x:v>450</x:v>
      </x:c>
      <x:c r="E25" t="n">
        <x:v>0</x:v>
      </x:c>
      <x:c r="F25" t="n">
        <x:f>IF(C25="Sí",MAX(0,D25-E25),0)</x:f>
        <x:v>450</x:v>
      </x:c>
      <x:c r="G25" t="str">
        <x:v>Sin excepción declarada</x:v>
      </x:c>
      <x:c r="H25" t="str">
        <x:v>SIMULADO</x:v>
      </x:c>
    </x:row>
    <x:row r="26">
      <x:c r="A26" s="18" t="n">
        <x:v>46288</x:v>
      </x:c>
      <x:c r="B26" t="str">
        <x:v>O005</x:v>
      </x:c>
      <x:c r="C26" t="str">
        <x:v>Sí</x:v>
      </x:c>
      <x:c r="D26" t="n">
        <x:f>Operarias!I6</x:f>
        <x:v>450</x:v>
      </x:c>
      <x:c r="E26" t="n">
        <x:v>0</x:v>
      </x:c>
      <x:c r="F26" t="n">
        <x:f>IF(C26="Sí",MAX(0,D26-E26),0)</x:f>
        <x:v>450</x:v>
      </x:c>
      <x:c r="G26" t="str">
        <x:v>Sin excepción declarada</x:v>
      </x:c>
      <x:c r="H26" t="str">
        <x:v>SIMULADO</x:v>
      </x:c>
    </x:row>
    <x:row r="27">
      <x:c r="A27" s="18" t="n">
        <x:v>46289</x:v>
      </x:c>
      <x:c r="B27" t="str">
        <x:v>O001</x:v>
      </x:c>
      <x:c r="C27" t="str">
        <x:v>Sí</x:v>
      </x:c>
      <x:c r="D27" t="n">
        <x:f>Operarias!I2</x:f>
        <x:v>450</x:v>
      </x:c>
      <x:c r="E27" t="n">
        <x:v>0</x:v>
      </x:c>
      <x:c r="F27" t="n">
        <x:f>IF(C27="Sí",MAX(0,D27-E27),0)</x:f>
        <x:v>450</x:v>
      </x:c>
      <x:c r="G27" t="str">
        <x:v>Sin excepción declarada</x:v>
      </x:c>
      <x:c r="H27" t="str">
        <x:v>SIMULADO</x:v>
      </x:c>
    </x:row>
    <x:row r="28">
      <x:c r="A28" s="18" t="n">
        <x:v>46289</x:v>
      </x:c>
      <x:c r="B28" t="str">
        <x:v>O002</x:v>
      </x:c>
      <x:c r="C28" t="str">
        <x:v>Sí</x:v>
      </x:c>
      <x:c r="D28" t="n">
        <x:f>Operarias!I3</x:f>
        <x:v>450</x:v>
      </x:c>
      <x:c r="E28" t="n">
        <x:v>0</x:v>
      </x:c>
      <x:c r="F28" t="n">
        <x:f>IF(C28="Sí",MAX(0,D28-E28),0)</x:f>
        <x:v>450</x:v>
      </x:c>
      <x:c r="G28" t="str">
        <x:v>Sin excepción declarada</x:v>
      </x:c>
      <x:c r="H28" t="str">
        <x:v>SIMULADO</x:v>
      </x:c>
    </x:row>
    <x:row r="29">
      <x:c r="A29" s="18" t="n">
        <x:v>46289</x:v>
      </x:c>
      <x:c r="B29" t="str">
        <x:v>O003</x:v>
      </x:c>
      <x:c r="C29" t="str">
        <x:v>Sí</x:v>
      </x:c>
      <x:c r="D29" t="n">
        <x:f>Operarias!I4</x:f>
        <x:v>450</x:v>
      </x:c>
      <x:c r="E29" t="n">
        <x:v>0</x:v>
      </x:c>
      <x:c r="F29" t="n">
        <x:f>IF(C29="Sí",MAX(0,D29-E29),0)</x:f>
        <x:v>450</x:v>
      </x:c>
      <x:c r="G29" t="str">
        <x:v>Sin excepción declarada</x:v>
      </x:c>
      <x:c r="H29" t="str">
        <x:v>SIMULADO</x:v>
      </x:c>
    </x:row>
    <x:row r="30">
      <x:c r="A30" s="18" t="n">
        <x:v>46289</x:v>
      </x:c>
      <x:c r="B30" t="str">
        <x:v>O004</x:v>
      </x:c>
      <x:c r="C30" t="str">
        <x:v>Sí</x:v>
      </x:c>
      <x:c r="D30" t="n">
        <x:f>Operarias!I5</x:f>
        <x:v>450</x:v>
      </x:c>
      <x:c r="E30" t="n">
        <x:v>0</x:v>
      </x:c>
      <x:c r="F30" t="n">
        <x:f>IF(C30="Sí",MAX(0,D30-E30),0)</x:f>
        <x:v>450</x:v>
      </x:c>
      <x:c r="G30" t="str">
        <x:v>Sin excepción declarada</x:v>
      </x:c>
      <x:c r="H30" t="str">
        <x:v>SIMULADO</x:v>
      </x:c>
    </x:row>
    <x:row r="31">
      <x:c r="A31" s="18" t="n">
        <x:v>46289</x:v>
      </x:c>
      <x:c r="B31" t="str">
        <x:v>O005</x:v>
      </x:c>
      <x:c r="C31" t="str">
        <x:v>Sí</x:v>
      </x:c>
      <x:c r="D31" t="n">
        <x:f>Operarias!I6</x:f>
        <x:v>450</x:v>
      </x:c>
      <x:c r="E31" t="n">
        <x:v>0</x:v>
      </x:c>
      <x:c r="F31" t="n">
        <x:f>IF(C31="Sí",MAX(0,D31-E31),0)</x:f>
        <x:v>450</x:v>
      </x:c>
      <x:c r="G31" t="str">
        <x:v>Sin excepción declarada</x:v>
      </x:c>
      <x:c r="H31" t="str">
        <x:v>SIMULADO</x:v>
      </x:c>
    </x:row>
    <x:row r="32">
      <x:c r="A32" s="18" t="n">
        <x:v>46290</x:v>
      </x:c>
      <x:c r="B32" t="str">
        <x:v>O001</x:v>
      </x:c>
      <x:c r="C32" t="str">
        <x:v>Sí</x:v>
      </x:c>
      <x:c r="D32" t="n">
        <x:f>Operarias!I2</x:f>
        <x:v>450</x:v>
      </x:c>
      <x:c r="E32" t="n">
        <x:v>0</x:v>
      </x:c>
      <x:c r="F32" t="n">
        <x:f>IF(C32="Sí",MAX(0,D32-E32),0)</x:f>
        <x:v>450</x:v>
      </x:c>
      <x:c r="G32" t="str">
        <x:v>Sin excepción declarada</x:v>
      </x:c>
      <x:c r="H32" t="str">
        <x:v>SIMULADO</x:v>
      </x:c>
    </x:row>
    <x:row r="33">
      <x:c r="A33" s="18" t="n">
        <x:v>46290</x:v>
      </x:c>
      <x:c r="B33" t="str">
        <x:v>O002</x:v>
      </x:c>
      <x:c r="C33" t="str">
        <x:v>Sí</x:v>
      </x:c>
      <x:c r="D33" t="n">
        <x:f>Operarias!I3</x:f>
        <x:v>450</x:v>
      </x:c>
      <x:c r="E33" t="n">
        <x:v>0</x:v>
      </x:c>
      <x:c r="F33" t="n">
        <x:f>IF(C33="Sí",MAX(0,D33-E33),0)</x:f>
        <x:v>450</x:v>
      </x:c>
      <x:c r="G33" t="str">
        <x:v>Sin excepción declarada</x:v>
      </x:c>
      <x:c r="H33" t="str">
        <x:v>SIMULADO</x:v>
      </x:c>
    </x:row>
    <x:row r="34">
      <x:c r="A34" s="18" t="n">
        <x:v>46290</x:v>
      </x:c>
      <x:c r="B34" t="str">
        <x:v>O003</x:v>
      </x:c>
      <x:c r="C34" t="str">
        <x:v>Sí</x:v>
      </x:c>
      <x:c r="D34" t="n">
        <x:f>Operarias!I4</x:f>
        <x:v>450</x:v>
      </x:c>
      <x:c r="E34" t="n">
        <x:v>0</x:v>
      </x:c>
      <x:c r="F34" t="n">
        <x:f>IF(C34="Sí",MAX(0,D34-E34),0)</x:f>
        <x:v>450</x:v>
      </x:c>
      <x:c r="G34" t="str">
        <x:v>Sin excepción declarada</x:v>
      </x:c>
      <x:c r="H34" t="str">
        <x:v>SIMULADO</x:v>
      </x:c>
    </x:row>
    <x:row r="35">
      <x:c r="A35" s="18" t="n">
        <x:v>46290</x:v>
      </x:c>
      <x:c r="B35" t="str">
        <x:v>O004</x:v>
      </x:c>
      <x:c r="C35" t="str">
        <x:v>Sí</x:v>
      </x:c>
      <x:c r="D35" t="n">
        <x:f>Operarias!I5</x:f>
        <x:v>450</x:v>
      </x:c>
      <x:c r="E35" t="n">
        <x:v>0</x:v>
      </x:c>
      <x:c r="F35" t="n">
        <x:f>IF(C35="Sí",MAX(0,D35-E35),0)</x:f>
        <x:v>450</x:v>
      </x:c>
      <x:c r="G35" t="str">
        <x:v>Sin excepción declarada</x:v>
      </x:c>
      <x:c r="H35" t="str">
        <x:v>SIMULADO</x:v>
      </x:c>
    </x:row>
    <x:row r="36">
      <x:c r="A36" s="18" t="n">
        <x:v>46290</x:v>
      </x:c>
      <x:c r="B36" t="str">
        <x:v>O005</x:v>
      </x:c>
      <x:c r="C36" t="str">
        <x:v>Sí</x:v>
      </x:c>
      <x:c r="D36" t="n">
        <x:f>Operarias!I6</x:f>
        <x:v>450</x:v>
      </x:c>
      <x:c r="E36" t="n">
        <x:v>0</x:v>
      </x:c>
      <x:c r="F36" t="n">
        <x:f>IF(C36="Sí",MAX(0,D36-E36),0)</x:f>
        <x:v>450</x:v>
      </x:c>
      <x:c r="G36" t="str">
        <x:v>Sin excepción declarada</x:v>
      </x:c>
      <x:c r="H36" t="str">
        <x:v>SIMULADO</x:v>
      </x:c>
    </x:row>
    <x:row r="37">
      <x:c r="A37" s="18" t="n">
        <x:v>46293</x:v>
      </x:c>
      <x:c r="B37" t="str">
        <x:v>O001</x:v>
      </x:c>
      <x:c r="C37" t="str">
        <x:v>Sí</x:v>
      </x:c>
      <x:c r="D37" t="n">
        <x:f>Operarias!I2</x:f>
        <x:v>450</x:v>
      </x:c>
      <x:c r="E37" t="n">
        <x:v>0</x:v>
      </x:c>
      <x:c r="F37" t="n">
        <x:f>IF(C37="Sí",MAX(0,D37-E37),0)</x:f>
        <x:v>450</x:v>
      </x:c>
      <x:c r="G37" t="str">
        <x:v>Sin excepción declarada</x:v>
      </x:c>
      <x:c r="H37" t="str">
        <x:v>SIMULADO</x:v>
      </x:c>
    </x:row>
    <x:row r="38">
      <x:c r="A38" s="18" t="n">
        <x:v>46293</x:v>
      </x:c>
      <x:c r="B38" t="str">
        <x:v>O002</x:v>
      </x:c>
      <x:c r="C38" t="str">
        <x:v>Sí</x:v>
      </x:c>
      <x:c r="D38" t="n">
        <x:f>Operarias!I3</x:f>
        <x:v>450</x:v>
      </x:c>
      <x:c r="E38" t="n">
        <x:v>0</x:v>
      </x:c>
      <x:c r="F38" t="n">
        <x:f>IF(C38="Sí",MAX(0,D38-E38),0)</x:f>
        <x:v>450</x:v>
      </x:c>
      <x:c r="G38" t="str">
        <x:v>Sin excepción declarada</x:v>
      </x:c>
      <x:c r="H38" t="str">
        <x:v>SIMULADO</x:v>
      </x:c>
    </x:row>
    <x:row r="39">
      <x:c r="A39" s="18" t="n">
        <x:v>46293</x:v>
      </x:c>
      <x:c r="B39" t="str">
        <x:v>O003</x:v>
      </x:c>
      <x:c r="C39" t="str">
        <x:v>Sí</x:v>
      </x:c>
      <x:c r="D39" t="n">
        <x:f>Operarias!I4</x:f>
        <x:v>450</x:v>
      </x:c>
      <x:c r="E39" t="n">
        <x:v>0</x:v>
      </x:c>
      <x:c r="F39" t="n">
        <x:f>IF(C39="Sí",MAX(0,D39-E39),0)</x:f>
        <x:v>450</x:v>
      </x:c>
      <x:c r="G39" t="str">
        <x:v>Sin excepción declarada</x:v>
      </x:c>
      <x:c r="H39" t="str">
        <x:v>SIMULADO</x:v>
      </x:c>
    </x:row>
    <x:row r="40">
      <x:c r="A40" s="18" t="n">
        <x:v>46293</x:v>
      </x:c>
      <x:c r="B40" t="str">
        <x:v>O004</x:v>
      </x:c>
      <x:c r="C40" t="str">
        <x:v>Sí</x:v>
      </x:c>
      <x:c r="D40" t="n">
        <x:f>Operarias!I5</x:f>
        <x:v>450</x:v>
      </x:c>
      <x:c r="E40" t="n">
        <x:v>0</x:v>
      </x:c>
      <x:c r="F40" t="n">
        <x:f>IF(C40="Sí",MAX(0,D40-E40),0)</x:f>
        <x:v>450</x:v>
      </x:c>
      <x:c r="G40" t="str">
        <x:v>Sin excepción declarada</x:v>
      </x:c>
      <x:c r="H40" t="str">
        <x:v>SIMULADO</x:v>
      </x:c>
    </x:row>
    <x:row r="41">
      <x:c r="A41" s="18" t="n">
        <x:v>46293</x:v>
      </x:c>
      <x:c r="B41" t="str">
        <x:v>O005</x:v>
      </x:c>
      <x:c r="C41" t="str">
        <x:v>Sí</x:v>
      </x:c>
      <x:c r="D41" t="n">
        <x:f>Operarias!I6</x:f>
        <x:v>450</x:v>
      </x:c>
      <x:c r="E41" t="n">
        <x:v>0</x:v>
      </x:c>
      <x:c r="F41" t="n">
        <x:f>IF(C41="Sí",MAX(0,D41-E41),0)</x:f>
        <x:v>450</x:v>
      </x:c>
      <x:c r="G41" t="str">
        <x:v>Sin excepción declarada</x:v>
      </x:c>
      <x:c r="H41" t="str">
        <x:v>SIMULADO</x:v>
      </x:c>
    </x:row>
    <x:row r="42">
      <x:c r="A42" s="18" t="n">
        <x:v>46294</x:v>
      </x:c>
      <x:c r="B42" t="str">
        <x:v>O001</x:v>
      </x:c>
      <x:c r="C42" t="str">
        <x:v>Sí</x:v>
      </x:c>
      <x:c r="D42" t="n">
        <x:f>Operarias!I2</x:f>
        <x:v>450</x:v>
      </x:c>
      <x:c r="E42" t="n">
        <x:v>0</x:v>
      </x:c>
      <x:c r="F42" t="n">
        <x:f>IF(C42="Sí",MAX(0,D42-E42),0)</x:f>
        <x:v>450</x:v>
      </x:c>
      <x:c r="G42" t="str">
        <x:v>Sin excepción declarada</x:v>
      </x:c>
      <x:c r="H42" t="str">
        <x:v>SIMULADO</x:v>
      </x:c>
    </x:row>
    <x:row r="43">
      <x:c r="A43" s="18" t="n">
        <x:v>46294</x:v>
      </x:c>
      <x:c r="B43" t="str">
        <x:v>O002</x:v>
      </x:c>
      <x:c r="C43" t="str">
        <x:v>Sí</x:v>
      </x:c>
      <x:c r="D43" t="n">
        <x:f>Operarias!I3</x:f>
        <x:v>450</x:v>
      </x:c>
      <x:c r="E43" t="n">
        <x:v>0</x:v>
      </x:c>
      <x:c r="F43" t="n">
        <x:f>IF(C43="Sí",MAX(0,D43-E43),0)</x:f>
        <x:v>450</x:v>
      </x:c>
      <x:c r="G43" t="str">
        <x:v>Sin excepción declarada</x:v>
      </x:c>
      <x:c r="H43" t="str">
        <x:v>SIMULADO</x:v>
      </x:c>
    </x:row>
    <x:row r="44">
      <x:c r="A44" s="18" t="n">
        <x:v>46294</x:v>
      </x:c>
      <x:c r="B44" t="str">
        <x:v>O003</x:v>
      </x:c>
      <x:c r="C44" t="str">
        <x:v>Sí</x:v>
      </x:c>
      <x:c r="D44" t="n">
        <x:f>Operarias!I4</x:f>
        <x:v>450</x:v>
      </x:c>
      <x:c r="E44" t="n">
        <x:v>0</x:v>
      </x:c>
      <x:c r="F44" t="n">
        <x:f>IF(C44="Sí",MAX(0,D44-E44),0)</x:f>
        <x:v>450</x:v>
      </x:c>
      <x:c r="G44" t="str">
        <x:v>Sin excepción declarada</x:v>
      </x:c>
      <x:c r="H44" t="str">
        <x:v>SIMULADO</x:v>
      </x:c>
    </x:row>
    <x:row r="45">
      <x:c r="A45" s="18" t="n">
        <x:v>46294</x:v>
      </x:c>
      <x:c r="B45" t="str">
        <x:v>O004</x:v>
      </x:c>
      <x:c r="C45" t="str">
        <x:v>Sí</x:v>
      </x:c>
      <x:c r="D45" t="n">
        <x:f>Operarias!I5</x:f>
        <x:v>450</x:v>
      </x:c>
      <x:c r="E45" t="n">
        <x:v>0</x:v>
      </x:c>
      <x:c r="F45" t="n">
        <x:f>IF(C45="Sí",MAX(0,D45-E45),0)</x:f>
        <x:v>450</x:v>
      </x:c>
      <x:c r="G45" t="str">
        <x:v>Sin excepción declarada</x:v>
      </x:c>
      <x:c r="H45" t="str">
        <x:v>SIMULADO</x:v>
      </x:c>
    </x:row>
    <x:row r="46">
      <x:c r="A46" s="18" t="n">
        <x:v>46294</x:v>
      </x:c>
      <x:c r="B46" t="str">
        <x:v>O005</x:v>
      </x:c>
      <x:c r="C46" t="str">
        <x:v>Sí</x:v>
      </x:c>
      <x:c r="D46" t="n">
        <x:f>Operarias!I6</x:f>
        <x:v>450</x:v>
      </x:c>
      <x:c r="E46" t="n">
        <x:v>0</x:v>
      </x:c>
      <x:c r="F46" t="n">
        <x:f>IF(C46="Sí",MAX(0,D46-E46),0)</x:f>
        <x:v>450</x:v>
      </x:c>
      <x:c r="G46" t="str">
        <x:v>Sin excepción declarada</x:v>
      </x:c>
      <x:c r="H46" t="str">
        <x:v>SIMULADO</x:v>
      </x:c>
    </x:row>
    <x:row r="47">
      <x:c r="A47" s="18" t="n">
        <x:v>46295</x:v>
      </x:c>
      <x:c r="B47" t="str">
        <x:v>O001</x:v>
      </x:c>
      <x:c r="C47" t="str">
        <x:v>Sí</x:v>
      </x:c>
      <x:c r="D47" t="n">
        <x:f>Operarias!I2</x:f>
        <x:v>450</x:v>
      </x:c>
      <x:c r="E47" t="n">
        <x:v>0</x:v>
      </x:c>
      <x:c r="F47" t="n">
        <x:f>IF(C47="Sí",MAX(0,D47-E47),0)</x:f>
        <x:v>450</x:v>
      </x:c>
      <x:c r="G47" t="str">
        <x:v>Sin excepción declarada</x:v>
      </x:c>
      <x:c r="H47" t="str">
        <x:v>SIMULADO</x:v>
      </x:c>
    </x:row>
    <x:row r="48">
      <x:c r="A48" s="18" t="n">
        <x:v>46295</x:v>
      </x:c>
      <x:c r="B48" t="str">
        <x:v>O002</x:v>
      </x:c>
      <x:c r="C48" t="str">
        <x:v>Sí</x:v>
      </x:c>
      <x:c r="D48" t="n">
        <x:f>Operarias!I3</x:f>
        <x:v>450</x:v>
      </x:c>
      <x:c r="E48" t="n">
        <x:v>0</x:v>
      </x:c>
      <x:c r="F48" t="n">
        <x:f>IF(C48="Sí",MAX(0,D48-E48),0)</x:f>
        <x:v>450</x:v>
      </x:c>
      <x:c r="G48" t="str">
        <x:v>Sin excepción declarada</x:v>
      </x:c>
      <x:c r="H48" t="str">
        <x:v>SIMULADO</x:v>
      </x:c>
    </x:row>
    <x:row r="49">
      <x:c r="A49" s="18" t="n">
        <x:v>46295</x:v>
      </x:c>
      <x:c r="B49" t="str">
        <x:v>O003</x:v>
      </x:c>
      <x:c r="C49" t="str">
        <x:v>Sí</x:v>
      </x:c>
      <x:c r="D49" t="n">
        <x:f>Operarias!I4</x:f>
        <x:v>450</x:v>
      </x:c>
      <x:c r="E49" t="n">
        <x:v>0</x:v>
      </x:c>
      <x:c r="F49" t="n">
        <x:f>IF(C49="Sí",MAX(0,D49-E49),0)</x:f>
        <x:v>450</x:v>
      </x:c>
      <x:c r="G49" t="str">
        <x:v>Sin excepción declarada</x:v>
      </x:c>
      <x:c r="H49" t="str">
        <x:v>SIMULADO</x:v>
      </x:c>
    </x:row>
    <x:row r="50">
      <x:c r="A50" s="18" t="n">
        <x:v>46295</x:v>
      </x:c>
      <x:c r="B50" t="str">
        <x:v>O004</x:v>
      </x:c>
      <x:c r="C50" t="str">
        <x:v>Sí</x:v>
      </x:c>
      <x:c r="D50" t="n">
        <x:f>Operarias!I5</x:f>
        <x:v>450</x:v>
      </x:c>
      <x:c r="E50" t="n">
        <x:v>0</x:v>
      </x:c>
      <x:c r="F50" t="n">
        <x:f>IF(C50="Sí",MAX(0,D50-E50),0)</x:f>
        <x:v>450</x:v>
      </x:c>
      <x:c r="G50" t="str">
        <x:v>Sin excepción declarada</x:v>
      </x:c>
      <x:c r="H50" t="str">
        <x:v>SIMULADO</x:v>
      </x:c>
    </x:row>
    <x:row r="51">
      <x:c r="A51" s="18" t="n">
        <x:v>46295</x:v>
      </x:c>
      <x:c r="B51" t="str">
        <x:v>O005</x:v>
      </x:c>
      <x:c r="C51" t="str">
        <x:v>Sí</x:v>
      </x:c>
      <x:c r="D51" t="n">
        <x:f>Operarias!I6</x:f>
        <x:v>450</x:v>
      </x:c>
      <x:c r="E51" t="n">
        <x:v>210</x:v>
      </x:c>
      <x:c r="F51" t="n">
        <x:f>IF(C51="Sí",MAX(0,D51-E51),0)</x:f>
        <x:v>240</x:v>
      </x:c>
      <x:c r="G51" t="str">
        <x:v>Capacitación simulada: 210 min</x:v>
      </x:c>
      <x:c r="H51" t="str">
        <x:v>SIMULADO</x:v>
      </x:c>
    </x:row>
    <x:row r="52">
      <x:c r="A52" s="18" t="n">
        <x:v>46296</x:v>
      </x:c>
      <x:c r="B52" t="str">
        <x:v>O001</x:v>
      </x:c>
      <x:c r="C52" t="str">
        <x:v>Sí</x:v>
      </x:c>
      <x:c r="D52" t="n">
        <x:f>Operarias!I2</x:f>
        <x:v>450</x:v>
      </x:c>
      <x:c r="E52" t="n">
        <x:v>0</x:v>
      </x:c>
      <x:c r="F52" t="n">
        <x:f>IF(C52="Sí",MAX(0,D52-E52),0)</x:f>
        <x:v>450</x:v>
      </x:c>
      <x:c r="G52" t="str">
        <x:v>Sin excepción declarada</x:v>
      </x:c>
      <x:c r="H52" t="str">
        <x:v>SIMULADO</x:v>
      </x:c>
    </x:row>
    <x:row r="53">
      <x:c r="A53" s="18" t="n">
        <x:v>46296</x:v>
      </x:c>
      <x:c r="B53" t="str">
        <x:v>O002</x:v>
      </x:c>
      <x:c r="C53" t="str">
        <x:v>Sí</x:v>
      </x:c>
      <x:c r="D53" t="n">
        <x:f>Operarias!I3</x:f>
        <x:v>450</x:v>
      </x:c>
      <x:c r="E53" t="n">
        <x:v>0</x:v>
      </x:c>
      <x:c r="F53" t="n">
        <x:f>IF(C53="Sí",MAX(0,D53-E53),0)</x:f>
        <x:v>450</x:v>
      </x:c>
      <x:c r="G53" t="str">
        <x:v>Sin excepción declarada</x:v>
      </x:c>
      <x:c r="H53" t="str">
        <x:v>SIMULADO</x:v>
      </x:c>
    </x:row>
    <x:row r="54">
      <x:c r="A54" s="18" t="n">
        <x:v>46296</x:v>
      </x:c>
      <x:c r="B54" t="str">
        <x:v>O003</x:v>
      </x:c>
      <x:c r="C54" t="str">
        <x:v>Sí</x:v>
      </x:c>
      <x:c r="D54" t="n">
        <x:f>Operarias!I4</x:f>
        <x:v>450</x:v>
      </x:c>
      <x:c r="E54" t="n">
        <x:v>0</x:v>
      </x:c>
      <x:c r="F54" t="n">
        <x:f>IF(C54="Sí",MAX(0,D54-E54),0)</x:f>
        <x:v>450</x:v>
      </x:c>
      <x:c r="G54" t="str">
        <x:v>Sin excepción declarada</x:v>
      </x:c>
      <x:c r="H54" t="str">
        <x:v>SIMULADO</x:v>
      </x:c>
    </x:row>
    <x:row r="55">
      <x:c r="A55" s="18" t="n">
        <x:v>46296</x:v>
      </x:c>
      <x:c r="B55" t="str">
        <x:v>O004</x:v>
      </x:c>
      <x:c r="C55" t="str">
        <x:v>Sí</x:v>
      </x:c>
      <x:c r="D55" t="n">
        <x:f>Operarias!I5</x:f>
        <x:v>450</x:v>
      </x:c>
      <x:c r="E55" t="n">
        <x:v>0</x:v>
      </x:c>
      <x:c r="F55" t="n">
        <x:f>IF(C55="Sí",MAX(0,D55-E55),0)</x:f>
        <x:v>450</x:v>
      </x:c>
      <x:c r="G55" t="str">
        <x:v>Sin excepción declarada</x:v>
      </x:c>
      <x:c r="H55" t="str">
        <x:v>SIMULADO</x:v>
      </x:c>
    </x:row>
    <x:row r="56">
      <x:c r="A56" s="18" t="n">
        <x:v>46296</x:v>
      </x:c>
      <x:c r="B56" t="str">
        <x:v>O005</x:v>
      </x:c>
      <x:c r="C56" t="str">
        <x:v>Sí</x:v>
      </x:c>
      <x:c r="D56" t="n">
        <x:f>Operarias!I6</x:f>
        <x:v>450</x:v>
      </x:c>
      <x:c r="E56" t="n">
        <x:v>0</x:v>
      </x:c>
      <x:c r="F56" t="n">
        <x:f>IF(C56="Sí",MAX(0,D56-E56),0)</x:f>
        <x:v>450</x:v>
      </x:c>
      <x:c r="G56" t="str">
        <x:v>Sin excepción declarada</x:v>
      </x:c>
      <x:c r="H56" t="str">
        <x:v>SIMULADO</x:v>
      </x:c>
    </x:row>
    <x:row r="57">
      <x:c r="A57" s="18" t="n">
        <x:v>46297</x:v>
      </x:c>
      <x:c r="B57" t="str">
        <x:v>O001</x:v>
      </x:c>
      <x:c r="C57" t="str">
        <x:v>Sí</x:v>
      </x:c>
      <x:c r="D57" t="n">
        <x:f>Operarias!I2</x:f>
        <x:v>450</x:v>
      </x:c>
      <x:c r="E57" t="n">
        <x:v>0</x:v>
      </x:c>
      <x:c r="F57" t="n">
        <x:f>IF(C57="Sí",MAX(0,D57-E57),0)</x:f>
        <x:v>450</x:v>
      </x:c>
      <x:c r="G57" t="str">
        <x:v>Sin excepción declarada</x:v>
      </x:c>
      <x:c r="H57" t="str">
        <x:v>SIMULADO</x:v>
      </x:c>
    </x:row>
    <x:row r="58">
      <x:c r="A58" s="18" t="n">
        <x:v>46297</x:v>
      </x:c>
      <x:c r="B58" t="str">
        <x:v>O002</x:v>
      </x:c>
      <x:c r="C58" t="str">
        <x:v>Sí</x:v>
      </x:c>
      <x:c r="D58" t="n">
        <x:f>Operarias!I3</x:f>
        <x:v>450</x:v>
      </x:c>
      <x:c r="E58" t="n">
        <x:v>0</x:v>
      </x:c>
      <x:c r="F58" t="n">
        <x:f>IF(C58="Sí",MAX(0,D58-E58),0)</x:f>
        <x:v>450</x:v>
      </x:c>
      <x:c r="G58" t="str">
        <x:v>Sin excepción declarada</x:v>
      </x:c>
      <x:c r="H58" t="str">
        <x:v>SIMULADO</x:v>
      </x:c>
    </x:row>
    <x:row r="59">
      <x:c r="A59" s="18" t="n">
        <x:v>46297</x:v>
      </x:c>
      <x:c r="B59" t="str">
        <x:v>O003</x:v>
      </x:c>
      <x:c r="C59" t="str">
        <x:v>Sí</x:v>
      </x:c>
      <x:c r="D59" t="n">
        <x:f>Operarias!I4</x:f>
        <x:v>450</x:v>
      </x:c>
      <x:c r="E59" t="n">
        <x:v>0</x:v>
      </x:c>
      <x:c r="F59" t="n">
        <x:f>IF(C59="Sí",MAX(0,D59-E59),0)</x:f>
        <x:v>450</x:v>
      </x:c>
      <x:c r="G59" t="str">
        <x:v>Sin excepción declarada</x:v>
      </x:c>
      <x:c r="H59" t="str">
        <x:v>SIMULADO</x:v>
      </x:c>
    </x:row>
    <x:row r="60">
      <x:c r="A60" s="18" t="n">
        <x:v>46297</x:v>
      </x:c>
      <x:c r="B60" t="str">
        <x:v>O004</x:v>
      </x:c>
      <x:c r="C60" t="str">
        <x:v>Sí</x:v>
      </x:c>
      <x:c r="D60" t="n">
        <x:f>Operarias!I5</x:f>
        <x:v>450</x:v>
      </x:c>
      <x:c r="E60" t="n">
        <x:v>0</x:v>
      </x:c>
      <x:c r="F60" t="n">
        <x:f>IF(C60="Sí",MAX(0,D60-E60),0)</x:f>
        <x:v>450</x:v>
      </x:c>
      <x:c r="G60" t="str">
        <x:v>Sin excepción declarada</x:v>
      </x:c>
      <x:c r="H60" t="str">
        <x:v>SIMULADO</x:v>
      </x:c>
    </x:row>
    <x:row r="61">
      <x:c r="A61" s="18" t="n">
        <x:v>46297</x:v>
      </x:c>
      <x:c r="B61" t="str">
        <x:v>O005</x:v>
      </x:c>
      <x:c r="C61" t="str">
        <x:v>Sí</x:v>
      </x:c>
      <x:c r="D61" t="n">
        <x:f>Operarias!I6</x:f>
        <x:v>450</x:v>
      </x:c>
      <x:c r="E61" t="n">
        <x:v>0</x:v>
      </x:c>
      <x:c r="F61" t="n">
        <x:f>IF(C61="Sí",MAX(0,D61-E61),0)</x:f>
        <x:v>450</x:v>
      </x:c>
      <x:c r="G61" t="str">
        <x:v>Sin excepción declarada</x:v>
      </x:c>
      <x:c r="H61" t="str">
        <x:v>SIMULADO</x:v>
      </x:c>
    </x:row>
    <x:row r="62">
      <x:c r="A62" s="18" t="n">
        <x:v>46300</x:v>
      </x:c>
      <x:c r="B62" t="str">
        <x:v>O001</x:v>
      </x:c>
      <x:c r="C62" t="str">
        <x:v>Sí</x:v>
      </x:c>
      <x:c r="D62" t="n">
        <x:f>Operarias!I2</x:f>
        <x:v>450</x:v>
      </x:c>
      <x:c r="E62" t="n">
        <x:v>0</x:v>
      </x:c>
      <x:c r="F62" t="n">
        <x:f>IF(C62="Sí",MAX(0,D62-E62),0)</x:f>
        <x:v>450</x:v>
      </x:c>
      <x:c r="G62" t="str">
        <x:v>Sin excepción declarada</x:v>
      </x:c>
      <x:c r="H62" t="str">
        <x:v>SIMULADO</x:v>
      </x:c>
    </x:row>
    <x:row r="63">
      <x:c r="A63" s="18" t="n">
        <x:v>46300</x:v>
      </x:c>
      <x:c r="B63" t="str">
        <x:v>O002</x:v>
      </x:c>
      <x:c r="C63" t="str">
        <x:v>Sí</x:v>
      </x:c>
      <x:c r="D63" t="n">
        <x:f>Operarias!I3</x:f>
        <x:v>450</x:v>
      </x:c>
      <x:c r="E63" t="n">
        <x:v>0</x:v>
      </x:c>
      <x:c r="F63" t="n">
        <x:f>IF(C63="Sí",MAX(0,D63-E63),0)</x:f>
        <x:v>450</x:v>
      </x:c>
      <x:c r="G63" t="str">
        <x:v>Sin excepción declarada</x:v>
      </x:c>
      <x:c r="H63" t="str">
        <x:v>SIMULADO</x:v>
      </x:c>
    </x:row>
    <x:row r="64">
      <x:c r="A64" s="18" t="n">
        <x:v>46300</x:v>
      </x:c>
      <x:c r="B64" t="str">
        <x:v>O003</x:v>
      </x:c>
      <x:c r="C64" t="str">
        <x:v>Sí</x:v>
      </x:c>
      <x:c r="D64" t="n">
        <x:f>Operarias!I4</x:f>
        <x:v>450</x:v>
      </x:c>
      <x:c r="E64" t="n">
        <x:v>0</x:v>
      </x:c>
      <x:c r="F64" t="n">
        <x:f>IF(C64="Sí",MAX(0,D64-E64),0)</x:f>
        <x:v>450</x:v>
      </x:c>
      <x:c r="G64" t="str">
        <x:v>Sin excepción declarada</x:v>
      </x:c>
      <x:c r="H64" t="str">
        <x:v>SIMULADO</x:v>
      </x:c>
    </x:row>
    <x:row r="65">
      <x:c r="A65" s="18" t="n">
        <x:v>46300</x:v>
      </x:c>
      <x:c r="B65" t="str">
        <x:v>O004</x:v>
      </x:c>
      <x:c r="C65" t="str">
        <x:v>Sí</x:v>
      </x:c>
      <x:c r="D65" t="n">
        <x:f>Operarias!I5</x:f>
        <x:v>450</x:v>
      </x:c>
      <x:c r="E65" t="n">
        <x:v>0</x:v>
      </x:c>
      <x:c r="F65" t="n">
        <x:f>IF(C65="Sí",MAX(0,D65-E65),0)</x:f>
        <x:v>450</x:v>
      </x:c>
      <x:c r="G65" t="str">
        <x:v>Sin excepción declarada</x:v>
      </x:c>
      <x:c r="H65" t="str">
        <x:v>SIMULADO</x:v>
      </x:c>
    </x:row>
    <x:row r="66">
      <x:c r="A66" s="18" t="n">
        <x:v>46300</x:v>
      </x:c>
      <x:c r="B66" t="str">
        <x:v>O005</x:v>
      </x:c>
      <x:c r="C66" t="str">
        <x:v>Sí</x:v>
      </x:c>
      <x:c r="D66" t="n">
        <x:f>Operarias!I6</x:f>
        <x:v>450</x:v>
      </x:c>
      <x:c r="E66" t="n">
        <x:v>0</x:v>
      </x:c>
      <x:c r="F66" t="n">
        <x:f>IF(C66="Sí",MAX(0,D66-E66),0)</x:f>
        <x:v>450</x:v>
      </x:c>
      <x:c r="G66" t="str">
        <x:v>Sin excepción declarada</x:v>
      </x:c>
      <x:c r="H66" t="str">
        <x:v>SIMULADO</x:v>
      </x:c>
    </x:row>
    <x:row r="67">
      <x:c r="A67" s="18" t="n">
        <x:v>46301</x:v>
      </x:c>
      <x:c r="B67" t="str">
        <x:v>O001</x:v>
      </x:c>
      <x:c r="C67" t="str">
        <x:v>Sí</x:v>
      </x:c>
      <x:c r="D67" t="n">
        <x:f>Operarias!I2</x:f>
        <x:v>450</x:v>
      </x:c>
      <x:c r="E67" t="n">
        <x:v>0</x:v>
      </x:c>
      <x:c r="F67" t="n">
        <x:f>IF(C67="Sí",MAX(0,D67-E67),0)</x:f>
        <x:v>450</x:v>
      </x:c>
      <x:c r="G67" t="str">
        <x:v>Sin excepción declarada</x:v>
      </x:c>
      <x:c r="H67" t="str">
        <x:v>SIMULADO</x:v>
      </x:c>
    </x:row>
    <x:row r="68">
      <x:c r="A68" s="18" t="n">
        <x:v>46301</x:v>
      </x:c>
      <x:c r="B68" t="str">
        <x:v>O002</x:v>
      </x:c>
      <x:c r="C68" t="str">
        <x:v>Sí</x:v>
      </x:c>
      <x:c r="D68" t="n">
        <x:f>Operarias!I3</x:f>
        <x:v>450</x:v>
      </x:c>
      <x:c r="E68" t="n">
        <x:v>0</x:v>
      </x:c>
      <x:c r="F68" t="n">
        <x:f>IF(C68="Sí",MAX(0,D68-E68),0)</x:f>
        <x:v>450</x:v>
      </x:c>
      <x:c r="G68" t="str">
        <x:v>Sin excepción declarada</x:v>
      </x:c>
      <x:c r="H68" t="str">
        <x:v>SIMULADO</x:v>
      </x:c>
    </x:row>
    <x:row r="69">
      <x:c r="A69" s="18" t="n">
        <x:v>46301</x:v>
      </x:c>
      <x:c r="B69" t="str">
        <x:v>O003</x:v>
      </x:c>
      <x:c r="C69" t="str">
        <x:v>Sí</x:v>
      </x:c>
      <x:c r="D69" t="n">
        <x:f>Operarias!I4</x:f>
        <x:v>450</x:v>
      </x:c>
      <x:c r="E69" t="n">
        <x:v>0</x:v>
      </x:c>
      <x:c r="F69" t="n">
        <x:f>IF(C69="Sí",MAX(0,D69-E69),0)</x:f>
        <x:v>450</x:v>
      </x:c>
      <x:c r="G69" t="str">
        <x:v>Sin excepción declarada</x:v>
      </x:c>
      <x:c r="H69" t="str">
        <x:v>SIMULADO</x:v>
      </x:c>
    </x:row>
    <x:row r="70">
      <x:c r="A70" s="18" t="n">
        <x:v>46301</x:v>
      </x:c>
      <x:c r="B70" t="str">
        <x:v>O004</x:v>
      </x:c>
      <x:c r="C70" t="str">
        <x:v>Sí</x:v>
      </x:c>
      <x:c r="D70" t="n">
        <x:f>Operarias!I5</x:f>
        <x:v>450</x:v>
      </x:c>
      <x:c r="E70" t="n">
        <x:v>0</x:v>
      </x:c>
      <x:c r="F70" t="n">
        <x:f>IF(C70="Sí",MAX(0,D70-E70),0)</x:f>
        <x:v>450</x:v>
      </x:c>
      <x:c r="G70" t="str">
        <x:v>Sin excepción declarada</x:v>
      </x:c>
      <x:c r="H70" t="str">
        <x:v>SIMULADO</x:v>
      </x:c>
    </x:row>
    <x:row r="71">
      <x:c r="A71" s="18" t="n">
        <x:v>46301</x:v>
      </x:c>
      <x:c r="B71" t="str">
        <x:v>O005</x:v>
      </x:c>
      <x:c r="C71" t="str">
        <x:v>Sí</x:v>
      </x:c>
      <x:c r="D71" t="n">
        <x:f>Operarias!I6</x:f>
        <x:v>450</x:v>
      </x:c>
      <x:c r="E71" t="n">
        <x:v>0</x:v>
      </x:c>
      <x:c r="F71" t="n">
        <x:f>IF(C71="Sí",MAX(0,D71-E71),0)</x:f>
        <x:v>450</x:v>
      </x:c>
      <x:c r="G71" t="str">
        <x:v>Sin excepción declarada</x:v>
      </x:c>
      <x:c r="H71" t="str">
        <x:v>SIMULADO</x:v>
      </x:c>
    </x:row>
    <x:row r="72">
      <x:c r="A72" s="18" t="n">
        <x:v>46302</x:v>
      </x:c>
      <x:c r="B72" t="str">
        <x:v>O001</x:v>
      </x:c>
      <x:c r="C72" t="str">
        <x:v>Sí</x:v>
      </x:c>
      <x:c r="D72" t="n">
        <x:f>Operarias!I2</x:f>
        <x:v>450</x:v>
      </x:c>
      <x:c r="E72" t="n">
        <x:v>0</x:v>
      </x:c>
      <x:c r="F72" t="n">
        <x:f>IF(C72="Sí",MAX(0,D72-E72),0)</x:f>
        <x:v>450</x:v>
      </x:c>
      <x:c r="G72" t="str">
        <x:v>Sin excepción declarada</x:v>
      </x:c>
      <x:c r="H72" t="str">
        <x:v>SIMULADO</x:v>
      </x:c>
    </x:row>
    <x:row r="73">
      <x:c r="A73" s="18" t="n">
        <x:v>46302</x:v>
      </x:c>
      <x:c r="B73" t="str">
        <x:v>O002</x:v>
      </x:c>
      <x:c r="C73" t="str">
        <x:v>Sí</x:v>
      </x:c>
      <x:c r="D73" t="n">
        <x:f>Operarias!I3</x:f>
        <x:v>450</x:v>
      </x:c>
      <x:c r="E73" t="n">
        <x:v>0</x:v>
      </x:c>
      <x:c r="F73" t="n">
        <x:f>IF(C73="Sí",MAX(0,D73-E73),0)</x:f>
        <x:v>450</x:v>
      </x:c>
      <x:c r="G73" t="str">
        <x:v>Sin excepción declarada</x:v>
      </x:c>
      <x:c r="H73" t="str">
        <x:v>SIMULADO</x:v>
      </x:c>
    </x:row>
    <x:row r="74">
      <x:c r="A74" s="18" t="n">
        <x:v>46302</x:v>
      </x:c>
      <x:c r="B74" t="str">
        <x:v>O003</x:v>
      </x:c>
      <x:c r="C74" t="str">
        <x:v>Sí</x:v>
      </x:c>
      <x:c r="D74" t="n">
        <x:f>Operarias!I4</x:f>
        <x:v>450</x:v>
      </x:c>
      <x:c r="E74" t="n">
        <x:v>0</x:v>
      </x:c>
      <x:c r="F74" t="n">
        <x:f>IF(C74="Sí",MAX(0,D74-E74),0)</x:f>
        <x:v>450</x:v>
      </x:c>
      <x:c r="G74" t="str">
        <x:v>Sin excepción declarada</x:v>
      </x:c>
      <x:c r="H74" t="str">
        <x:v>SIMULADO</x:v>
      </x:c>
    </x:row>
    <x:row r="75">
      <x:c r="A75" s="18" t="n">
        <x:v>46302</x:v>
      </x:c>
      <x:c r="B75" t="str">
        <x:v>O004</x:v>
      </x:c>
      <x:c r="C75" t="str">
        <x:v>Sí</x:v>
      </x:c>
      <x:c r="D75" t="n">
        <x:f>Operarias!I5</x:f>
        <x:v>450</x:v>
      </x:c>
      <x:c r="E75" t="n">
        <x:v>0</x:v>
      </x:c>
      <x:c r="F75" t="n">
        <x:f>IF(C75="Sí",MAX(0,D75-E75),0)</x:f>
        <x:v>450</x:v>
      </x:c>
      <x:c r="G75" t="str">
        <x:v>Sin excepción declarada</x:v>
      </x:c>
      <x:c r="H75" t="str">
        <x:v>SIMULADO</x:v>
      </x:c>
    </x:row>
    <x:row r="76">
      <x:c r="A76" s="18" t="n">
        <x:v>46302</x:v>
      </x:c>
      <x:c r="B76" t="str">
        <x:v>O005</x:v>
      </x:c>
      <x:c r="C76" t="str">
        <x:v>Sí</x:v>
      </x:c>
      <x:c r="D76" t="n">
        <x:f>Operarias!I6</x:f>
        <x:v>450</x:v>
      </x:c>
      <x:c r="E76" t="n">
        <x:v>0</x:v>
      </x:c>
      <x:c r="F76" t="n">
        <x:f>IF(C76="Sí",MAX(0,D76-E76),0)</x:f>
        <x:v>450</x:v>
      </x:c>
      <x:c r="G76" t="str">
        <x:v>Sin excepción declarada</x:v>
      </x:c>
      <x:c r="H76" t="str">
        <x:v>SIMULADO</x:v>
      </x:c>
    </x:row>
    <x:row r="77">
      <x:c r="A77" s="18" t="n">
        <x:v>46303</x:v>
      </x:c>
      <x:c r="B77" t="str">
        <x:v>O001</x:v>
      </x:c>
      <x:c r="C77" t="str">
        <x:v>Sí</x:v>
      </x:c>
      <x:c r="D77" t="n">
        <x:f>Operarias!I2</x:f>
        <x:v>450</x:v>
      </x:c>
      <x:c r="E77" t="n">
        <x:v>0</x:v>
      </x:c>
      <x:c r="F77" t="n">
        <x:f>IF(C77="Sí",MAX(0,D77-E77),0)</x:f>
        <x:v>450</x:v>
      </x:c>
      <x:c r="G77" t="str">
        <x:v>Sin excepción declarada</x:v>
      </x:c>
      <x:c r="H77" t="str">
        <x:v>SIMULADO</x:v>
      </x:c>
    </x:row>
    <x:row r="78">
      <x:c r="A78" s="18" t="n">
        <x:v>46303</x:v>
      </x:c>
      <x:c r="B78" t="str">
        <x:v>O002</x:v>
      </x:c>
      <x:c r="C78" t="str">
        <x:v>Sí</x:v>
      </x:c>
      <x:c r="D78" t="n">
        <x:f>Operarias!I3</x:f>
        <x:v>450</x:v>
      </x:c>
      <x:c r="E78" t="n">
        <x:v>0</x:v>
      </x:c>
      <x:c r="F78" t="n">
        <x:f>IF(C78="Sí",MAX(0,D78-E78),0)</x:f>
        <x:v>450</x:v>
      </x:c>
      <x:c r="G78" t="str">
        <x:v>Sin excepción declarada</x:v>
      </x:c>
      <x:c r="H78" t="str">
        <x:v>SIMULADO</x:v>
      </x:c>
    </x:row>
    <x:row r="79">
      <x:c r="A79" s="18" t="n">
        <x:v>46303</x:v>
      </x:c>
      <x:c r="B79" t="str">
        <x:v>O003</x:v>
      </x:c>
      <x:c r="C79" t="str">
        <x:v>Sí</x:v>
      </x:c>
      <x:c r="D79" t="n">
        <x:f>Operarias!I4</x:f>
        <x:v>450</x:v>
      </x:c>
      <x:c r="E79" t="n">
        <x:v>0</x:v>
      </x:c>
      <x:c r="F79" t="n">
        <x:f>IF(C79="Sí",MAX(0,D79-E79),0)</x:f>
        <x:v>450</x:v>
      </x:c>
      <x:c r="G79" t="str">
        <x:v>Sin excepción declarada</x:v>
      </x:c>
      <x:c r="H79" t="str">
        <x:v>SIMULADO</x:v>
      </x:c>
    </x:row>
    <x:row r="80">
      <x:c r="A80" s="18" t="n">
        <x:v>46303</x:v>
      </x:c>
      <x:c r="B80" t="str">
        <x:v>O004</x:v>
      </x:c>
      <x:c r="C80" t="str">
        <x:v>Sí</x:v>
      </x:c>
      <x:c r="D80" t="n">
        <x:f>Operarias!I5</x:f>
        <x:v>450</x:v>
      </x:c>
      <x:c r="E80" t="n">
        <x:v>0</x:v>
      </x:c>
      <x:c r="F80" t="n">
        <x:f>IF(C80="Sí",MAX(0,D80-E80),0)</x:f>
        <x:v>450</x:v>
      </x:c>
      <x:c r="G80" t="str">
        <x:v>Sin excepción declarada</x:v>
      </x:c>
      <x:c r="H80" t="str">
        <x:v>SIMULADO</x:v>
      </x:c>
    </x:row>
    <x:row r="81">
      <x:c r="A81" s="18" t="n">
        <x:v>46303</x:v>
      </x:c>
      <x:c r="B81" t="str">
        <x:v>O005</x:v>
      </x:c>
      <x:c r="C81" t="str">
        <x:v>Sí</x:v>
      </x:c>
      <x:c r="D81" t="n">
        <x:f>Operarias!I6</x:f>
        <x:v>450</x:v>
      </x:c>
      <x:c r="E81" t="n">
        <x:v>0</x:v>
      </x:c>
      <x:c r="F81" t="n">
        <x:f>IF(C81="Sí",MAX(0,D81-E81),0)</x:f>
        <x:v>450</x:v>
      </x:c>
      <x:c r="G81" t="str">
        <x:v>Sin excepción declarada</x:v>
      </x:c>
      <x:c r="H81" t="str">
        <x:v>SIMULADO</x:v>
      </x:c>
    </x:row>
    <x:row r="82">
      <x:c r="A82" s="18" t="n">
        <x:v>46304</x:v>
      </x:c>
      <x:c r="B82" t="str">
        <x:v>O001</x:v>
      </x:c>
      <x:c r="C82" t="str">
        <x:v>Sí</x:v>
      </x:c>
      <x:c r="D82" t="n">
        <x:f>Operarias!I2</x:f>
        <x:v>450</x:v>
      </x:c>
      <x:c r="E82" t="n">
        <x:v>0</x:v>
      </x:c>
      <x:c r="F82" t="n">
        <x:f>IF(C82="Sí",MAX(0,D82-E82),0)</x:f>
        <x:v>450</x:v>
      </x:c>
      <x:c r="G82" t="str">
        <x:v>Sin excepción declarada</x:v>
      </x:c>
      <x:c r="H82" t="str">
        <x:v>SIMULADO</x:v>
      </x:c>
    </x:row>
    <x:row r="83">
      <x:c r="A83" s="18" t="n">
        <x:v>46304</x:v>
      </x:c>
      <x:c r="B83" t="str">
        <x:v>O002</x:v>
      </x:c>
      <x:c r="C83" t="str">
        <x:v>Sí</x:v>
      </x:c>
      <x:c r="D83" t="n">
        <x:f>Operarias!I3</x:f>
        <x:v>450</x:v>
      </x:c>
      <x:c r="E83" t="n">
        <x:v>0</x:v>
      </x:c>
      <x:c r="F83" t="n">
        <x:f>IF(C83="Sí",MAX(0,D83-E83),0)</x:f>
        <x:v>450</x:v>
      </x:c>
      <x:c r="G83" t="str">
        <x:v>Sin excepción declarada</x:v>
      </x:c>
      <x:c r="H83" t="str">
        <x:v>SIMULADO</x:v>
      </x:c>
    </x:row>
    <x:row r="84">
      <x:c r="A84" s="18" t="n">
        <x:v>46304</x:v>
      </x:c>
      <x:c r="B84" t="str">
        <x:v>O003</x:v>
      </x:c>
      <x:c r="C84" t="str">
        <x:v>Sí</x:v>
      </x:c>
      <x:c r="D84" t="n">
        <x:f>Operarias!I4</x:f>
        <x:v>450</x:v>
      </x:c>
      <x:c r="E84" t="n">
        <x:v>0</x:v>
      </x:c>
      <x:c r="F84" t="n">
        <x:f>IF(C84="Sí",MAX(0,D84-E84),0)</x:f>
        <x:v>450</x:v>
      </x:c>
      <x:c r="G84" t="str">
        <x:v>Sin excepción declarada</x:v>
      </x:c>
      <x:c r="H84" t="str">
        <x:v>SIMULADO</x:v>
      </x:c>
    </x:row>
    <x:row r="85">
      <x:c r="A85" s="18" t="n">
        <x:v>46304</x:v>
      </x:c>
      <x:c r="B85" t="str">
        <x:v>O004</x:v>
      </x:c>
      <x:c r="C85" t="str">
        <x:v>Sí</x:v>
      </x:c>
      <x:c r="D85" t="n">
        <x:f>Operarias!I5</x:f>
        <x:v>450</x:v>
      </x:c>
      <x:c r="E85" t="n">
        <x:v>0</x:v>
      </x:c>
      <x:c r="F85" t="n">
        <x:f>IF(C85="Sí",MAX(0,D85-E85),0)</x:f>
        <x:v>450</x:v>
      </x:c>
      <x:c r="G85" t="str">
        <x:v>Sin excepción declarada</x:v>
      </x:c>
      <x:c r="H85" t="str">
        <x:v>SIMULADO</x:v>
      </x:c>
    </x:row>
    <x:row r="86">
      <x:c r="A86" s="18" t="n">
        <x:v>46304</x:v>
      </x:c>
      <x:c r="B86" t="str">
        <x:v>O005</x:v>
      </x:c>
      <x:c r="C86" t="str">
        <x:v>Sí</x:v>
      </x:c>
      <x:c r="D86" t="n">
        <x:f>Operarias!I6</x:f>
        <x:v>450</x:v>
      </x:c>
      <x:c r="E86" t="n">
        <x:v>0</x:v>
      </x:c>
      <x:c r="F86" t="n">
        <x:f>IF(C86="Sí",MAX(0,D86-E86),0)</x:f>
        <x:v>450</x:v>
      </x:c>
      <x:c r="G86" t="str">
        <x:v>Sin excepción declarada</x:v>
      </x:c>
      <x:c r="H86" t="str">
        <x:v>SIMULADO</x:v>
      </x:c>
    </x:row>
    <x:row r="87">
      <x:c r="A87" s="18" t="n">
        <x:v>46307</x:v>
      </x:c>
      <x:c r="B87" t="str">
        <x:v>O001</x:v>
      </x:c>
      <x:c r="C87" t="str">
        <x:v>Sí</x:v>
      </x:c>
      <x:c r="D87" t="n">
        <x:f>Operarias!I2</x:f>
        <x:v>450</x:v>
      </x:c>
      <x:c r="E87" t="n">
        <x:v>0</x:v>
      </x:c>
      <x:c r="F87" t="n">
        <x:f>IF(C87="Sí",MAX(0,D87-E87),0)</x:f>
        <x:v>450</x:v>
      </x:c>
      <x:c r="G87" t="str">
        <x:v>Sin excepción declarada</x:v>
      </x:c>
      <x:c r="H87" t="str">
        <x:v>SIMULADO</x:v>
      </x:c>
    </x:row>
    <x:row r="88">
      <x:c r="A88" s="18" t="n">
        <x:v>46307</x:v>
      </x:c>
      <x:c r="B88" t="str">
        <x:v>O002</x:v>
      </x:c>
      <x:c r="C88" t="str">
        <x:v>Sí</x:v>
      </x:c>
      <x:c r="D88" t="n">
        <x:f>Operarias!I3</x:f>
        <x:v>450</x:v>
      </x:c>
      <x:c r="E88" t="n">
        <x:v>0</x:v>
      </x:c>
      <x:c r="F88" t="n">
        <x:f>IF(C88="Sí",MAX(0,D88-E88),0)</x:f>
        <x:v>450</x:v>
      </x:c>
      <x:c r="G88" t="str">
        <x:v>Sin excepción declarada</x:v>
      </x:c>
      <x:c r="H88" t="str">
        <x:v>SIMULADO</x:v>
      </x:c>
    </x:row>
    <x:row r="89">
      <x:c r="A89" s="18" t="n">
        <x:v>46307</x:v>
      </x:c>
      <x:c r="B89" t="str">
        <x:v>O003</x:v>
      </x:c>
      <x:c r="C89" t="str">
        <x:v>Sí</x:v>
      </x:c>
      <x:c r="D89" t="n">
        <x:f>Operarias!I4</x:f>
        <x:v>450</x:v>
      </x:c>
      <x:c r="E89" t="n">
        <x:v>0</x:v>
      </x:c>
      <x:c r="F89" t="n">
        <x:f>IF(C89="Sí",MAX(0,D89-E89),0)</x:f>
        <x:v>450</x:v>
      </x:c>
      <x:c r="G89" t="str">
        <x:v>Sin excepción declarada</x:v>
      </x:c>
      <x:c r="H89" t="str">
        <x:v>SIMULADO</x:v>
      </x:c>
    </x:row>
    <x:row r="90">
      <x:c r="A90" s="18" t="n">
        <x:v>46307</x:v>
      </x:c>
      <x:c r="B90" t="str">
        <x:v>O004</x:v>
      </x:c>
      <x:c r="C90" t="str">
        <x:v>Sí</x:v>
      </x:c>
      <x:c r="D90" t="n">
        <x:f>Operarias!I5</x:f>
        <x:v>450</x:v>
      </x:c>
      <x:c r="E90" t="n">
        <x:v>0</x:v>
      </x:c>
      <x:c r="F90" t="n">
        <x:f>IF(C90="Sí",MAX(0,D90-E90),0)</x:f>
        <x:v>450</x:v>
      </x:c>
      <x:c r="G90" t="str">
        <x:v>Sin excepción declarada</x:v>
      </x:c>
      <x:c r="H90" t="str">
        <x:v>SIMULADO</x:v>
      </x:c>
    </x:row>
    <x:row r="91">
      <x:c r="A91" s="18" t="n">
        <x:v>46307</x:v>
      </x:c>
      <x:c r="B91" t="str">
        <x:v>O005</x:v>
      </x:c>
      <x:c r="C91" t="str">
        <x:v>Sí</x:v>
      </x:c>
      <x:c r="D91" t="n">
        <x:f>Operarias!I6</x:f>
        <x:v>450</x:v>
      </x:c>
      <x:c r="E91" t="n">
        <x:v>0</x:v>
      </x:c>
      <x:c r="F91" t="n">
        <x:f>IF(C91="Sí",MAX(0,D91-E91),0)</x:f>
        <x:v>450</x:v>
      </x:c>
      <x:c r="G91" t="str">
        <x:v>Sin excepción declarada</x:v>
      </x:c>
      <x:c r="H91" t="str">
        <x:v>SIMULADO</x:v>
      </x:c>
    </x:row>
    <x:row r="92">
      <x:c r="A92" s="18" t="n">
        <x:v>46308</x:v>
      </x:c>
      <x:c r="B92" t="str">
        <x:v>O001</x:v>
      </x:c>
      <x:c r="C92" t="str">
        <x:v>Sí</x:v>
      </x:c>
      <x:c r="D92" t="n">
        <x:f>Operarias!I2</x:f>
        <x:v>450</x:v>
      </x:c>
      <x:c r="E92" t="n">
        <x:v>0</x:v>
      </x:c>
      <x:c r="F92" t="n">
        <x:f>IF(C92="Sí",MAX(0,D92-E92),0)</x:f>
        <x:v>450</x:v>
      </x:c>
      <x:c r="G92" t="str">
        <x:v>Sin excepción declarada</x:v>
      </x:c>
      <x:c r="H92" t="str">
        <x:v>SIMULADO</x:v>
      </x:c>
    </x:row>
    <x:row r="93">
      <x:c r="A93" s="18" t="n">
        <x:v>46308</x:v>
      </x:c>
      <x:c r="B93" t="str">
        <x:v>O002</x:v>
      </x:c>
      <x:c r="C93" t="str">
        <x:v>Sí</x:v>
      </x:c>
      <x:c r="D93" t="n">
        <x:f>Operarias!I3</x:f>
        <x:v>450</x:v>
      </x:c>
      <x:c r="E93" t="n">
        <x:v>0</x:v>
      </x:c>
      <x:c r="F93" t="n">
        <x:f>IF(C93="Sí",MAX(0,D93-E93),0)</x:f>
        <x:v>450</x:v>
      </x:c>
      <x:c r="G93" t="str">
        <x:v>Sin excepción declarada</x:v>
      </x:c>
      <x:c r="H93" t="str">
        <x:v>SIMULADO</x:v>
      </x:c>
    </x:row>
    <x:row r="94">
      <x:c r="A94" s="18" t="n">
        <x:v>46308</x:v>
      </x:c>
      <x:c r="B94" t="str">
        <x:v>O003</x:v>
      </x:c>
      <x:c r="C94" t="str">
        <x:v>Sí</x:v>
      </x:c>
      <x:c r="D94" t="n">
        <x:f>Operarias!I4</x:f>
        <x:v>450</x:v>
      </x:c>
      <x:c r="E94" t="n">
        <x:v>0</x:v>
      </x:c>
      <x:c r="F94" t="n">
        <x:f>IF(C94="Sí",MAX(0,D94-E94),0)</x:f>
        <x:v>450</x:v>
      </x:c>
      <x:c r="G94" t="str">
        <x:v>Sin excepción declarada</x:v>
      </x:c>
      <x:c r="H94" t="str">
        <x:v>SIMULADO</x:v>
      </x:c>
    </x:row>
    <x:row r="95">
      <x:c r="A95" s="18" t="n">
        <x:v>46308</x:v>
      </x:c>
      <x:c r="B95" t="str">
        <x:v>O004</x:v>
      </x:c>
      <x:c r="C95" t="str">
        <x:v>Sí</x:v>
      </x:c>
      <x:c r="D95" t="n">
        <x:f>Operarias!I5</x:f>
        <x:v>450</x:v>
      </x:c>
      <x:c r="E95" t="n">
        <x:v>0</x:v>
      </x:c>
      <x:c r="F95" t="n">
        <x:f>IF(C95="Sí",MAX(0,D95-E95),0)</x:f>
        <x:v>450</x:v>
      </x:c>
      <x:c r="G95" t="str">
        <x:v>Sin excepción declarada</x:v>
      </x:c>
      <x:c r="H95" t="str">
        <x:v>SIMULADO</x:v>
      </x:c>
    </x:row>
    <x:row r="96">
      <x:c r="A96" s="18" t="n">
        <x:v>46308</x:v>
      </x:c>
      <x:c r="B96" t="str">
        <x:v>O005</x:v>
      </x:c>
      <x:c r="C96" t="str">
        <x:v>Sí</x:v>
      </x:c>
      <x:c r="D96" t="n">
        <x:f>Operarias!I6</x:f>
        <x:v>450</x:v>
      </x:c>
      <x:c r="E96" t="n">
        <x:v>0</x:v>
      </x:c>
      <x:c r="F96" t="n">
        <x:f>IF(C96="Sí",MAX(0,D96-E96),0)</x:f>
        <x:v>450</x:v>
      </x:c>
      <x:c r="G96" t="str">
        <x:v>Sin excepción declarada</x:v>
      </x:c>
      <x:c r="H96" t="str">
        <x:v>SIMULADO</x:v>
      </x:c>
    </x:row>
    <x:row r="97">
      <x:c r="A97" s="18" t="n">
        <x:v>46309</x:v>
      </x:c>
      <x:c r="B97" t="str">
        <x:v>O001</x:v>
      </x:c>
      <x:c r="C97" t="str">
        <x:v>Sí</x:v>
      </x:c>
      <x:c r="D97" t="n">
        <x:f>Operarias!I2</x:f>
        <x:v>450</x:v>
      </x:c>
      <x:c r="E97" t="n">
        <x:v>0</x:v>
      </x:c>
      <x:c r="F97" t="n">
        <x:f>IF(C97="Sí",MAX(0,D97-E97),0)</x:f>
        <x:v>450</x:v>
      </x:c>
      <x:c r="G97" t="str">
        <x:v>Sin excepción declarada</x:v>
      </x:c>
      <x:c r="H97" t="str">
        <x:v>SIMULADO</x:v>
      </x:c>
    </x:row>
    <x:row r="98">
      <x:c r="A98" s="18" t="n">
        <x:v>46309</x:v>
      </x:c>
      <x:c r="B98" t="str">
        <x:v>O002</x:v>
      </x:c>
      <x:c r="C98" t="str">
        <x:v>Sí</x:v>
      </x:c>
      <x:c r="D98" t="n">
        <x:f>Operarias!I3</x:f>
        <x:v>450</x:v>
      </x:c>
      <x:c r="E98" t="n">
        <x:v>0</x:v>
      </x:c>
      <x:c r="F98" t="n">
        <x:f>IF(C98="Sí",MAX(0,D98-E98),0)</x:f>
        <x:v>450</x:v>
      </x:c>
      <x:c r="G98" t="str">
        <x:v>Sin excepción declarada</x:v>
      </x:c>
      <x:c r="H98" t="str">
        <x:v>SIMULADO</x:v>
      </x:c>
    </x:row>
    <x:row r="99">
      <x:c r="A99" s="18" t="n">
        <x:v>46309</x:v>
      </x:c>
      <x:c r="B99" t="str">
        <x:v>O003</x:v>
      </x:c>
      <x:c r="C99" t="str">
        <x:v>Sí</x:v>
      </x:c>
      <x:c r="D99" t="n">
        <x:f>Operarias!I4</x:f>
        <x:v>450</x:v>
      </x:c>
      <x:c r="E99" t="n">
        <x:v>0</x:v>
      </x:c>
      <x:c r="F99" t="n">
        <x:f>IF(C99="Sí",MAX(0,D99-E99),0)</x:f>
        <x:v>450</x:v>
      </x:c>
      <x:c r="G99" t="str">
        <x:v>Sin excepción declarada</x:v>
      </x:c>
      <x:c r="H99" t="str">
        <x:v>SIMULADO</x:v>
      </x:c>
    </x:row>
    <x:row r="100">
      <x:c r="A100" s="18" t="n">
        <x:v>46309</x:v>
      </x:c>
      <x:c r="B100" t="str">
        <x:v>O004</x:v>
      </x:c>
      <x:c r="C100" t="str">
        <x:v>Sí</x:v>
      </x:c>
      <x:c r="D100" t="n">
        <x:f>Operarias!I5</x:f>
        <x:v>450</x:v>
      </x:c>
      <x:c r="E100" t="n">
        <x:v>0</x:v>
      </x:c>
      <x:c r="F100" t="n">
        <x:f>IF(C100="Sí",MAX(0,D100-E100),0)</x:f>
        <x:v>450</x:v>
      </x:c>
      <x:c r="G100" t="str">
        <x:v>Sin excepción declarada</x:v>
      </x:c>
      <x:c r="H100" t="str">
        <x:v>SIMULADO</x:v>
      </x:c>
    </x:row>
    <x:row r="101">
      <x:c r="A101" s="18" t="n">
        <x:v>46309</x:v>
      </x:c>
      <x:c r="B101" t="str">
        <x:v>O005</x:v>
      </x:c>
      <x:c r="C101" t="str">
        <x:v>Sí</x:v>
      </x:c>
      <x:c r="D101" t="n">
        <x:f>Operarias!I6</x:f>
        <x:v>450</x:v>
      </x:c>
      <x:c r="E101" t="n">
        <x:v>0</x:v>
      </x:c>
      <x:c r="F101" t="n">
        <x:f>IF(C101="Sí",MAX(0,D101-E101),0)</x:f>
        <x:v>450</x:v>
      </x:c>
      <x:c r="G101" t="str">
        <x:v>Sin excepción declarada</x:v>
      </x:c>
      <x:c r="H101" t="str">
        <x:v>SIMULADO</x:v>
      </x:c>
    </x:row>
  </x:sheetData>
  <x:conditionalFormatting sqref="C2:C101">
    <x:cfRule type="expression" dxfId="0" priority="1">
      <x:formula>$C2="No"</x:formula>
    </x:cfRule>
  </x:conditionalFormatting>
  <x:dataValidations count="1">
    <x:dataValidation type="list" sqref="C2:C12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c5bd998bc14d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7" hidden="0" customWidth="1"/>
    <x:col min="4" max="4" width="75" hidden="0" customWidth="1"/>
  </x:cols>
  <x:sheetData>
    <x:row r="1" ht="37" customHeight="1">
      <x:c r="A1" s="23" t="str">
        <x:v>Operacion</x:v>
      </x:c>
      <x:c r="B1" s="23" t="str">
        <x:v>Capacidad_Maquina</x:v>
      </x:c>
      <x:c r="C1" s="23" t="str">
        <x:v>Estado</x:v>
      </x:c>
      <x:c r="D1" s="23" t="str">
        <x:v>Nota</x:v>
      </x:c>
    </x:row>
    <x:row r="2">
      <x:c r="A2" t="str">
        <x:v>Corte</x:v>
      </x:c>
      <x:c r="B2"/>
      <x:c r="C2" t="str">
        <x:v>PENDIENTE DE VALIDAR</x:v>
      </x:c>
      <x:c r="D2" t="str">
        <x:v>No se impone restricción de máquina sin inventario verificado.</x:v>
      </x:c>
    </x:row>
    <x:row r="3">
      <x:c r="A3" t="str">
        <x:v>Ensamblaje</x:v>
      </x:c>
      <x:c r="B3"/>
      <x:c r="C3" t="str">
        <x:v>PENDIENTE DE VALIDAR</x:v>
      </x:c>
      <x:c r="D3" t="str">
        <x:v>No se impone restricción de máquina sin inventario verificado.</x:v>
      </x:c>
    </x:row>
    <x:row r="4">
      <x:c r="A4" t="str">
        <x:v>Acabados y detalles</x:v>
      </x:c>
      <x:c r="B4"/>
      <x:c r="C4" t="str">
        <x:v>PENDIENTE DE VALIDAR</x:v>
      </x:c>
      <x:c r="D4" t="str">
        <x:v>No se impone restricción de máquina sin inventario verificado.</x:v>
      </x:c>
    </x:row>
    <x:row r="5">
      <x:c r="A5" t="str">
        <x:v>Planchado</x:v>
      </x:c>
      <x:c r="B5"/>
      <x:c r="C5" t="str">
        <x:v>PENDIENTE DE VALIDAR</x:v>
      </x:c>
      <x:c r="D5" t="str">
        <x:v>No se impone restricción de máquina sin inventario verificado.</x:v>
      </x:c>
    </x:row>
  </x:sheetData>
  <x:pageMargins left="0.7" right="0.7" top="0.75" bottom="0.75" header="0.3" footer="0.3"/>
  <x:tableParts count="1">
    <x:tablePart xmlns:r="http://schemas.openxmlformats.org/officeDocument/2006/relationships" r:id="Rdde8021bbbeb4e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4" hidden="0" customWidth="1"/>
    <x:col min="4" max="4" width="35" hidden="0" customWidth="1"/>
  </x:cols>
  <x:sheetData>
    <x:row r="1" ht="37" customHeight="1">
      <x:c r="A1" s="23" t="str">
        <x:v>HOJA</x:v>
      </x:c>
      <x:c r="B1" s="23" t="str">
        <x:v>CAMPO / REGLA</x:v>
      </x:c>
      <x:c r="C1" s="23" t="str">
        <x:v>SIGNIFICADO / USO</x:v>
      </x:c>
      <x:c r="D1" s="23" t="str">
        <x:v>UNIDAD / NOTA</x:v>
      </x:c>
    </x:row>
    <x:row r="2" ht="31" customHeight="1">
      <x:c r="A2" s="16" t="str">
        <x:v>Operarias</x:v>
      </x:c>
      <x:c r="B2" s="16" t="str">
        <x:v>ID_Operaria</x:v>
      </x:c>
      <x:c r="C2" s="16" t="str">
        <x:v>Clave única anónima del personal de prueba.</x:v>
      </x:c>
      <x:c r="D2" s="16" t="str">
        <x:v>O001...O005</x:v>
      </x:c>
    </x:row>
    <x:row r="3" ht="31" customHeight="1">
      <x:c r="A3" s="16" t="str">
        <x:v>Operarias</x:v>
      </x:c>
      <x:c r="B3" s="16" t="str">
        <x:v>Jornada_Bruta_Min</x:v>
      </x:c>
      <x:c r="C3" s="16" t="str">
        <x:v>Tiempo entre inicio y fin del turno.</x:v>
      </x:c>
      <x:c r="D3" s="16" t="str">
        <x:v>540 min</x:v>
      </x:c>
    </x:row>
    <x:row r="4" ht="31" customHeight="1">
      <x:c r="A4" s="16" t="str">
        <x:v>Operarias</x:v>
      </x:c>
      <x:c r="B4" s="16" t="str">
        <x:v>Descanso_Min</x:v>
      </x:c>
      <x:c r="C4" s="16" t="str">
        <x:v>Pausa no programable.</x:v>
      </x:c>
      <x:c r="D4" s="16" t="str">
        <x:v>60 min</x:v>
      </x:c>
    </x:row>
    <x:row r="5" ht="31" customHeight="1">
      <x:c r="A5" s="16" t="str">
        <x:v>Operarias</x:v>
      </x:c>
      <x:c r="B5" s="16" t="str">
        <x:v>Indirectos_Min</x:v>
      </x:c>
      <x:c r="C5" s="16" t="str">
        <x:v>Tareas administrativas indirectas no disponibles para C2.</x:v>
      </x:c>
      <x:c r="D5" s="16" t="str">
        <x:v>30 min</x:v>
      </x:c>
    </x:row>
    <x:row r="6" ht="31" customHeight="1">
      <x:c r="A6" s="16" t="str">
        <x:v>Operarias</x:v>
      </x:c>
      <x:c r="B6" s="16" t="str">
        <x:v>Capacidad_Neta_Min</x:v>
      </x:c>
      <x:c r="C6" s="16" t="str">
        <x:v>Fórmula = MAX(0, jornada - descanso - indirectos).</x:v>
      </x:c>
      <x:c r="D6" s="16" t="str">
        <x:v>450 min/día en caso estándar</x:v>
      </x:c>
    </x:row>
    <x:row r="7" ht="31" customHeight="1">
      <x:c r="A7" s="16" t="str">
        <x:v>Habilidades</x:v>
      </x:c>
      <x:c r="B7" s="16" t="str">
        <x:v>Nivel</x:v>
      </x:c>
      <x:c r="C7" s="16" t="str">
        <x:v>0 sin habilitación; 1 básica; 2 autónoma; 3 experta.</x:v>
      </x:c>
      <x:c r="D7" s="16" t="str">
        <x:v>0–3</x:v>
      </x:c>
    </x:row>
    <x:row r="8" ht="31" customHeight="1">
      <x:c r="A8" s="16" t="str">
        <x:v>Habilidades</x:v>
      </x:c>
      <x:c r="B8" s="16" t="str">
        <x:v>Habilitada_Alta</x:v>
      </x:c>
      <x:c r="C8" s="16" t="str">
        <x:v>Fórmula: nivel &gt;= 2 para pedido Alta.</x:v>
      </x:c>
      <x:c r="D8" s="16" t="str">
        <x:v>Sí / No</x:v>
      </x:c>
    </x:row>
    <x:row r="9" ht="31" customHeight="1">
      <x:c r="A9" s="16" t="str">
        <x:v>Calendario</x:v>
      </x:c>
      <x:c r="B9" s="16" t="str">
        <x:v>Capacidad_Programable_Min</x:v>
      </x:c>
      <x:c r="C9" s="16" t="str">
        <x:v>Fórmula: si disponible, MAX(0, capacidad base - compromisos externos).</x:v>
      </x:c>
      <x:c r="D9" s="16" t="str">
        <x:v>Minutos por día</x:v>
      </x:c>
    </x:row>
    <x:row r="10" ht="31" customHeight="1">
      <x:c r="A10" s="16" t="str">
        <x:v>Calendario</x:v>
      </x:c>
      <x:c r="B10" s="16" t="str">
        <x:v>Compromisos_Externos_Min</x:v>
      </x:c>
      <x:c r="C10" s="16" t="str">
        <x:v>Trabajo fuera del modelo C2; no duplicar lo ya asignado en Operaciones.</x:v>
      </x:c>
      <x:c r="D10" s="16" t="str">
        <x:v>Minutos</x:v>
      </x:c>
    </x:row>
    <x:row r="11" ht="31" customHeight="1">
      <x:c r="A11" s="16" t="str">
        <x:v>Recursos_por_validar</x:v>
      </x:c>
      <x:c r="B11" s="16" t="str">
        <x:v>Capacidad_Maquina</x:v>
      </x:c>
      <x:c r="C11" s="16" t="str">
        <x:v>Debe obtenerse del inventario físico de máquinas.</x:v>
      </x:c>
      <x:c r="D11" s="16" t="str">
        <x:v>Pendiente, NO inventar</x:v>
      </x:c>
    </x:row>
  </x:sheetData>
  <x:pageMargins left="0.7" right="0.7" top="0.75" bottom="0.75" header="0.3" footer="0.3"/>
  <x:tableParts count="1">
    <x:tablePart xmlns:r="http://schemas.openxmlformats.org/officeDocument/2006/relationships" r:id="Rfbef41160bea4312"/>
  </x:tableParts>
</x:worksheet>
</file>